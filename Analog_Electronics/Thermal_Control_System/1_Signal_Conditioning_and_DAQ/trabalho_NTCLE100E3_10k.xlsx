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ables/table6.xml" ContentType="application/vnd.openxmlformats-officedocument.spreadsheetml.table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yisepipp-my.sharepoint.com/personal/1240570_isep_ipp_pt/Documents/ELEAPL/"/>
    </mc:Choice>
  </mc:AlternateContent>
  <xr:revisionPtr revIDLastSave="1310" documentId="8_{5CCED3EC-2FBE-42EC-8F89-1D41817F3B46}" xr6:coauthVersionLast="47" xr6:coauthVersionMax="47" xr10:uidLastSave="{ECDB28D2-C6E0-456A-B0FD-4BB883A62C08}"/>
  <bookViews>
    <workbookView xWindow="-108" yWindow="-108" windowWidth="23256" windowHeight="12456" firstSheet="2" activeTab="6" xr2:uid="{CD055DF3-D2E5-4E4C-A59F-EFFFEA389ACA}"/>
  </bookViews>
  <sheets>
    <sheet name="Curva Geral" sheetId="1" r:id="rId1"/>
    <sheet name="Curva Especifica" sheetId="2" r:id="rId2"/>
    <sheet name="wheatstone" sheetId="3" r:id="rId3"/>
    <sheet name="ia" sheetId="4" r:id="rId4"/>
    <sheet name="precision limiter" sheetId="5" r:id="rId5"/>
    <sheet name="Circuito Completo" sheetId="8" r:id="rId6"/>
    <sheet name="power_table" sheetId="6" r:id="rId7"/>
    <sheet name="Sensibilidade" sheetId="7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2" l="1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28" i="2"/>
  <c r="C2" i="5"/>
  <c r="A9" i="8"/>
  <c r="A8" i="8"/>
  <c r="A7" i="8"/>
  <c r="A6" i="8"/>
  <c r="A5" i="8"/>
  <c r="A4" i="8"/>
  <c r="A3" i="8"/>
  <c r="A29" i="4"/>
  <c r="B49" i="3"/>
  <c r="D82" i="4"/>
  <c r="C82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64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42" i="4"/>
  <c r="B60" i="4"/>
  <c r="C60" i="4" s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" i="4"/>
  <c r="A33" i="4"/>
  <c r="A30" i="4"/>
  <c r="A35" i="4"/>
  <c r="A32" i="4"/>
  <c r="A34" i="4"/>
  <c r="A31" i="4"/>
  <c r="B45" i="3"/>
  <c r="B46" i="3"/>
  <c r="B47" i="3"/>
  <c r="B48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44" i="3"/>
  <c r="A37" i="3"/>
  <c r="A38" i="3"/>
  <c r="A39" i="3"/>
  <c r="A30" i="3"/>
  <c r="A31" i="3"/>
  <c r="A32" i="3"/>
  <c r="A33" i="3"/>
  <c r="A34" i="3"/>
  <c r="A35" i="3"/>
  <c r="A36" i="3"/>
  <c r="A29" i="3"/>
  <c r="C4" i="2"/>
  <c r="D4" i="2" s="1"/>
  <c r="C5" i="2"/>
  <c r="D5" i="2" s="1"/>
  <c r="C6" i="2"/>
  <c r="D6" i="2" s="1"/>
  <c r="C7" i="2"/>
  <c r="D7" i="2" s="1"/>
  <c r="C8" i="2"/>
  <c r="D8" i="2" s="1"/>
  <c r="C9" i="2"/>
  <c r="D9" i="2" s="1"/>
  <c r="C10" i="2"/>
  <c r="D10" i="2" s="1"/>
  <c r="C11" i="2"/>
  <c r="D11" i="2" s="1"/>
  <c r="C12" i="2"/>
  <c r="D12" i="2" s="1"/>
  <c r="C13" i="2"/>
  <c r="D13" i="2" s="1"/>
  <c r="C14" i="2"/>
  <c r="D14" i="2" s="1"/>
  <c r="C15" i="2"/>
  <c r="D15" i="2" s="1"/>
  <c r="C16" i="2"/>
  <c r="D16" i="2" s="1"/>
  <c r="C17" i="2"/>
  <c r="D17" i="2" s="1"/>
  <c r="C18" i="2"/>
  <c r="D18" i="2" s="1"/>
  <c r="C19" i="2"/>
  <c r="D19" i="2" s="1"/>
  <c r="C20" i="2"/>
  <c r="D20" i="2" s="1"/>
  <c r="C21" i="2"/>
  <c r="D21" i="2" s="1"/>
  <c r="C22" i="2"/>
  <c r="D22" i="2" s="1"/>
  <c r="C23" i="2"/>
  <c r="D23" i="2" s="1"/>
  <c r="C3" i="2"/>
  <c r="D3" i="2" s="1"/>
</calcChain>
</file>

<file path=xl/sharedStrings.xml><?xml version="1.0" encoding="utf-8"?>
<sst xmlns="http://schemas.openxmlformats.org/spreadsheetml/2006/main" count="100" uniqueCount="77">
  <si>
    <t>NTCLE100E3 -10kΩ</t>
  </si>
  <si>
    <t>TCR (%K)</t>
  </si>
  <si>
    <t>Column B</t>
  </si>
  <si>
    <t>Temperatura (ºC)</t>
  </si>
  <si>
    <t>Resistência (Ohms)</t>
  </si>
  <si>
    <t>Formula</t>
  </si>
  <si>
    <t>Função de Transferência</t>
  </si>
  <si>
    <t>R</t>
  </si>
  <si>
    <t>Resistência Nominal (Ω)</t>
  </si>
  <si>
    <t>T</t>
  </si>
  <si>
    <t>Temperatura (º C)</t>
  </si>
  <si>
    <t>Number</t>
  </si>
  <si>
    <t>B25/85​ (K)</t>
  </si>
  <si>
    <t>Name</t>
  </si>
  <si>
    <t>TOL. B (%)</t>
  </si>
  <si>
    <t>A</t>
  </si>
  <si>
    <t>B (K)</t>
  </si>
  <si>
    <t>C (K2)</t>
  </si>
  <si>
    <t>D (K3)</t>
  </si>
  <si>
    <t>A1​</t>
  </si>
  <si>
    <t>B1​ (K−1)</t>
  </si>
  <si>
    <t>C1​ (K−2)</t>
  </si>
  <si>
    <t>D1​ (K−3)</t>
  </si>
  <si>
    <t>Mat A.</t>
  </si>
  <si>
    <r>
      <t>R = 29646e</t>
    </r>
    <r>
      <rPr>
        <vertAlign val="superscript"/>
        <sz val="14"/>
        <color rgb="FF000000"/>
        <rFont val="Aptos Narrow"/>
        <scheme val="minor"/>
      </rPr>
      <t>-0.043T</t>
    </r>
  </si>
  <si>
    <t>Vd(Pspice)</t>
  </si>
  <si>
    <t>Vd (Teste Ponte)</t>
  </si>
  <si>
    <t>Vd (Teórico)</t>
  </si>
  <si>
    <t>V2 (Pspice)</t>
  </si>
  <si>
    <t>Resistência (Ohms)2</t>
  </si>
  <si>
    <t>Temperatura (K)</t>
  </si>
  <si>
    <t>W(NTC2)</t>
  </si>
  <si>
    <t>W(R1)</t>
  </si>
  <si>
    <t>W(R10)</t>
  </si>
  <si>
    <t>W(R11)</t>
  </si>
  <si>
    <t>W(R12)</t>
  </si>
  <si>
    <t>W(R13)</t>
  </si>
  <si>
    <t>W(R2)</t>
  </si>
  <si>
    <t>W(R3)</t>
  </si>
  <si>
    <t>W(R4)</t>
  </si>
  <si>
    <t>W(R5)</t>
  </si>
  <si>
    <t>W(R6)</t>
  </si>
  <si>
    <t>W(R7)</t>
  </si>
  <si>
    <t>W(R8)</t>
  </si>
  <si>
    <t>W(R9)</t>
  </si>
  <si>
    <t>Bridge</t>
  </si>
  <si>
    <t>IA</t>
  </si>
  <si>
    <t>Precision Limiter</t>
  </si>
  <si>
    <t>,</t>
  </si>
  <si>
    <t>Média</t>
  </si>
  <si>
    <t>ACM</t>
  </si>
  <si>
    <t>V1(Pspice)</t>
  </si>
  <si>
    <t>PSPICE</t>
  </si>
  <si>
    <t>CMRR(dB)</t>
  </si>
  <si>
    <t>T (ºC)</t>
  </si>
  <si>
    <t>R (Ohms)</t>
  </si>
  <si>
    <t>V1  (Pspice) (V)</t>
  </si>
  <si>
    <t>V1  (Experimental) (V)</t>
  </si>
  <si>
    <t>Tensão (V)</t>
  </si>
  <si>
    <t>OUTPUT (V)</t>
  </si>
  <si>
    <t>Sensibilidade Analógica</t>
  </si>
  <si>
    <t xml:space="preserve"> [ 17 - 37 ] ºC</t>
  </si>
  <si>
    <t>dV2/dT</t>
  </si>
  <si>
    <t>Resolução Analógica</t>
  </si>
  <si>
    <t>Resolução Digital MEGA2560</t>
  </si>
  <si>
    <t>Resolução do Sistema</t>
  </si>
  <si>
    <t>Resolução Analógica é o valor máximo do ruído que podemos verificar no sistema, sendo este bastante inferior á resolução do microcontrolador, significando que a resolução analógica é bastante superior á digital, sendo a mesma posteriormente limitada pelo conversor AD.</t>
  </si>
  <si>
    <t>Vd (Ponte de Wheatstone)</t>
  </si>
  <si>
    <t>CMRR EXPERIMENTAL</t>
  </si>
  <si>
    <t xml:space="preserve">V1 Experimental </t>
  </si>
  <si>
    <t>V1 (V)</t>
  </si>
  <si>
    <t>V2 (V)</t>
  </si>
  <si>
    <t>Experimental</t>
  </si>
  <si>
    <t>Resistência</t>
  </si>
  <si>
    <t>1.085</t>
  </si>
  <si>
    <t>Valores positivos</t>
  </si>
  <si>
    <t>NTCLE100E3 -10kΩ -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</si>
</sst>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0.00000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8"/>
      <color theme="1"/>
      <name val="Aptos Narrow"/>
      <family val="2"/>
      <scheme val="minor"/>
    </font>
    <font>
      <b/>
      <sz val="14"/>
      <color rgb="FF595959"/>
      <name val="Aptos Narrow"/>
      <family val="2"/>
      <scheme val="minor"/>
    </font>
    <font>
      <b/>
      <sz val="14"/>
      <name val="Aptos Narrow"/>
      <family val="2"/>
      <scheme val="minor"/>
    </font>
    <font>
      <sz val="14"/>
      <name val="Aptos Narrow"/>
      <family val="2"/>
      <scheme val="minor"/>
    </font>
    <font>
      <vertAlign val="superscript"/>
      <sz val="14"/>
      <color rgb="FF000000"/>
      <name val="Aptos Narrow"/>
      <scheme val="minor"/>
    </font>
    <font>
      <sz val="14"/>
      <color rgb="FF000000"/>
      <name val="Aptos Narrow"/>
      <family val="2"/>
      <scheme val="minor"/>
    </font>
    <font>
      <b/>
      <sz val="10"/>
      <color theme="0"/>
      <name val="Arial"/>
      <family val="2"/>
    </font>
    <font>
      <sz val="11"/>
      <color theme="1"/>
      <name val="Arial"/>
      <family val="2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11" fontId="2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vertical="center" readingOrder="1"/>
    </xf>
    <xf numFmtId="0" fontId="0" fillId="0" borderId="1" xfId="0" applyBorder="1"/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horizontal="center" vertical="top"/>
    </xf>
    <xf numFmtId="1" fontId="0" fillId="0" borderId="0" xfId="0" applyNumberFormat="1" applyAlignment="1">
      <alignment horizontal="center" vertical="top"/>
    </xf>
    <xf numFmtId="1" fontId="0" fillId="0" borderId="0" xfId="0" applyNumberFormat="1"/>
    <xf numFmtId="0" fontId="10" fillId="2" borderId="5" xfId="0" applyFont="1" applyFill="1" applyBorder="1" applyAlignment="1">
      <alignment horizontal="center" vertical="center" wrapText="1"/>
    </xf>
    <xf numFmtId="2" fontId="0" fillId="3" borderId="1" xfId="0" applyNumberForma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" fontId="0" fillId="0" borderId="1" xfId="0" applyNumberFormat="1" applyBorder="1"/>
    <xf numFmtId="164" fontId="0" fillId="0" borderId="1" xfId="0" applyNumberFormat="1" applyBorder="1"/>
    <xf numFmtId="0" fontId="2" fillId="0" borderId="7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2" fillId="0" borderId="9" xfId="0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/>
    </xf>
    <xf numFmtId="0" fontId="3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11" fontId="0" fillId="0" borderId="0" xfId="0" applyNumberFormat="1"/>
    <xf numFmtId="0" fontId="12" fillId="2" borderId="12" xfId="0" applyFont="1" applyFill="1" applyBorder="1" applyAlignment="1">
      <alignment horizontal="center"/>
    </xf>
    <xf numFmtId="0" fontId="12" fillId="2" borderId="13" xfId="0" applyFont="1" applyFill="1" applyBorder="1" applyAlignment="1">
      <alignment horizontal="center"/>
    </xf>
    <xf numFmtId="0" fontId="12" fillId="2" borderId="14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67" fontId="0" fillId="0" borderId="1" xfId="0" applyNumberFormat="1" applyBorder="1" applyAlignment="1">
      <alignment horizontal="center" vertical="center"/>
    </xf>
    <xf numFmtId="2" fontId="0" fillId="5" borderId="1" xfId="0" applyNumberFormat="1" applyFill="1" applyBorder="1"/>
    <xf numFmtId="2" fontId="0" fillId="0" borderId="1" xfId="0" applyNumberFormat="1" applyBorder="1"/>
    <xf numFmtId="0" fontId="6" fillId="0" borderId="0" xfId="0" applyFont="1" applyAlignment="1">
      <alignment vertical="center" readingOrder="1"/>
    </xf>
    <xf numFmtId="0" fontId="9" fillId="0" borderId="0" xfId="0" applyFont="1" applyAlignment="1">
      <alignment vertical="center" readingOrder="1"/>
    </xf>
    <xf numFmtId="0" fontId="7" fillId="0" borderId="0" xfId="0" applyFont="1" applyAlignment="1">
      <alignment vertical="center" readingOrder="1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0" fillId="2" borderId="1" xfId="0" applyFont="1" applyFill="1" applyBorder="1" applyAlignment="1">
      <alignment horizontal="center" vertical="center" wrapText="1"/>
    </xf>
    <xf numFmtId="164" fontId="0" fillId="5" borderId="1" xfId="0" applyNumberFormat="1" applyFill="1" applyBorder="1"/>
    <xf numFmtId="0" fontId="0" fillId="3" borderId="1" xfId="0" applyFill="1" applyBorder="1" applyAlignment="1">
      <alignment horizontal="center" vertical="center"/>
    </xf>
    <xf numFmtId="0" fontId="12" fillId="4" borderId="15" xfId="0" applyFont="1" applyFill="1" applyBorder="1" applyAlignment="1">
      <alignment horizontal="center"/>
    </xf>
    <xf numFmtId="0" fontId="12" fillId="4" borderId="0" xfId="0" applyFont="1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10" fillId="2" borderId="18" xfId="0" applyFont="1" applyFill="1" applyBorder="1" applyAlignment="1">
      <alignment horizontal="center" vertical="center" wrapText="1"/>
    </xf>
    <xf numFmtId="0" fontId="10" fillId="2" borderId="19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11" xfId="0" applyBorder="1" applyAlignment="1">
      <alignment horizontal="center"/>
    </xf>
    <xf numFmtId="0" fontId="6" fillId="0" borderId="1" xfId="0" applyFont="1" applyBorder="1" applyAlignment="1">
      <alignment horizontal="center" vertical="center" readingOrder="1"/>
    </xf>
    <xf numFmtId="0" fontId="6" fillId="0" borderId="2" xfId="0" applyFont="1" applyBorder="1" applyAlignment="1">
      <alignment horizontal="center" vertical="center" readingOrder="1"/>
    </xf>
    <xf numFmtId="0" fontId="9" fillId="0" borderId="1" xfId="0" applyFont="1" applyBorder="1" applyAlignment="1">
      <alignment horizontal="center" vertical="center" readingOrder="1"/>
    </xf>
    <xf numFmtId="0" fontId="7" fillId="0" borderId="1" xfId="0" applyFont="1" applyBorder="1" applyAlignment="1">
      <alignment horizontal="center" vertical="center" readingOrder="1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readingOrder="1"/>
    </xf>
    <xf numFmtId="0" fontId="0" fillId="0" borderId="16" xfId="0" applyBorder="1" applyAlignment="1">
      <alignment horizont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20" xfId="0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46">
    <dxf>
      <numFmt numFmtId="165" formatCode="0.0000"/>
      <alignment horizontal="center" textRotation="0" wrapText="0" indent="0" justifyLastLine="0" shrinkToFit="0" readingOrder="0"/>
    </dxf>
    <dxf>
      <numFmt numFmtId="165" formatCode="0.0000"/>
      <alignment horizontal="center" textRotation="0" wrapText="0" indent="0" justifyLastLine="0" shrinkToFit="0" readingOrder="0"/>
    </dxf>
    <dxf>
      <numFmt numFmtId="165" formatCode="0.0000"/>
      <alignment horizontal="center" textRotation="0" wrapText="0" indent="0" justifyLastLine="0" shrinkToFit="0" readingOrder="0"/>
    </dxf>
    <dxf>
      <numFmt numFmtId="165" formatCode="0.0000"/>
      <alignment horizontal="center" textRotation="0" wrapText="0" indent="0" justifyLastLine="0" shrinkToFit="0" readingOrder="0"/>
    </dxf>
    <dxf>
      <numFmt numFmtId="165" formatCode="0.0000"/>
      <alignment horizontal="center" textRotation="0" wrapText="0" indent="0" justifyLastLine="0" shrinkToFit="0" readingOrder="0"/>
    </dxf>
    <dxf>
      <numFmt numFmtId="165" formatCode="0.0000"/>
      <alignment horizontal="center" textRotation="0" wrapText="0" indent="0" justifyLastLine="0" shrinkToFit="0" readingOrder="0"/>
    </dxf>
    <dxf>
      <numFmt numFmtId="165" formatCode="0.0000"/>
      <alignment horizontal="center" textRotation="0" wrapText="0" indent="0" justifyLastLine="0" shrinkToFit="0" readingOrder="0"/>
    </dxf>
    <dxf>
      <numFmt numFmtId="165" formatCode="0.0000"/>
      <alignment horizontal="center" textRotation="0" wrapText="0" indent="0" justifyLastLine="0" shrinkToFit="0" readingOrder="0"/>
    </dxf>
    <dxf>
      <numFmt numFmtId="165" formatCode="0.0000"/>
      <alignment horizontal="center" textRotation="0" wrapText="0" indent="0" justifyLastLine="0" shrinkToFit="0" readingOrder="0"/>
    </dxf>
    <dxf>
      <numFmt numFmtId="165" formatCode="0.0000"/>
      <alignment horizontal="center" textRotation="0" wrapText="0" indent="0" justifyLastLine="0" shrinkToFit="0" readingOrder="0"/>
    </dxf>
    <dxf>
      <numFmt numFmtId="165" formatCode="0.0000"/>
      <alignment horizontal="center" textRotation="0" wrapText="0" indent="0" justifyLastLine="0" shrinkToFit="0" readingOrder="0"/>
    </dxf>
    <dxf>
      <numFmt numFmtId="165" formatCode="0.0000"/>
      <alignment horizontal="center" textRotation="0" wrapText="0" indent="0" justifyLastLine="0" shrinkToFit="0" readingOrder="0"/>
    </dxf>
    <dxf>
      <numFmt numFmtId="165" formatCode="0.0000"/>
      <alignment horizontal="center" textRotation="0" wrapText="0" indent="0" justifyLastLine="0" shrinkToFit="0" readingOrder="0"/>
    </dxf>
    <dxf>
      <numFmt numFmtId="165" formatCode="0.0000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top" textRotation="0" wrapText="0" indent="0" justifyLastLine="0" shrinkToFit="0" readingOrder="0"/>
    </dxf>
    <dxf>
      <numFmt numFmtId="164" formatCode="0.0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theme="1"/>
          <bgColor theme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medium">
          <color indexed="64"/>
        </top>
      </border>
    </dxf>
    <dxf>
      <border outline="0">
        <bottom style="medium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medium">
          <color indexed="64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</dxf>
    <dxf>
      <border outline="0">
        <bottom style="medium">
          <color indexed="64"/>
        </bottom>
      </border>
    </dxf>
    <dxf>
      <numFmt numFmtId="164" formatCode="0.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PT" sz="12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Temperatura vs Resistência - [-40,  150]ºC - NTCLE100E3</a:t>
            </a:r>
          </a:p>
        </c:rich>
      </c:tx>
      <c:layout>
        <c:manualLayout>
          <c:xMode val="edge"/>
          <c:yMode val="edge"/>
          <c:x val="0.28219398702574011"/>
          <c:y val="2.62910791642680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>
        <c:manualLayout>
          <c:layoutTarget val="inner"/>
          <c:xMode val="edge"/>
          <c:yMode val="edge"/>
          <c:x val="9.4053262732576151E-2"/>
          <c:y val="8.461772277329617E-2"/>
          <c:w val="0.88903866487457395"/>
          <c:h val="0.82737265634303503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4.4702788526677369E-2"/>
                  <c:y val="-0.6190842219707252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PT"/>
                </a:p>
              </c:txPr>
            </c:trendlineLbl>
          </c:trendline>
          <c:xVal>
            <c:numRef>
              <c:f>'Curva Geral'!$D$3:$D$41</c:f>
              <c:numCache>
                <c:formatCode>General</c:formatCode>
                <c:ptCount val="39"/>
                <c:pt idx="0">
                  <c:v>-40</c:v>
                </c:pt>
                <c:pt idx="1">
                  <c:v>-35</c:v>
                </c:pt>
                <c:pt idx="2">
                  <c:v>-30</c:v>
                </c:pt>
                <c:pt idx="3">
                  <c:v>-25</c:v>
                </c:pt>
                <c:pt idx="4">
                  <c:v>-20</c:v>
                </c:pt>
                <c:pt idx="5">
                  <c:v>-15</c:v>
                </c:pt>
                <c:pt idx="6">
                  <c:v>-10</c:v>
                </c:pt>
                <c:pt idx="7">
                  <c:v>-5</c:v>
                </c:pt>
                <c:pt idx="8">
                  <c:v>0</c:v>
                </c:pt>
                <c:pt idx="9">
                  <c:v>5</c:v>
                </c:pt>
                <c:pt idx="10">
                  <c:v>10</c:v>
                </c:pt>
                <c:pt idx="11">
                  <c:v>15</c:v>
                </c:pt>
                <c:pt idx="12">
                  <c:v>20</c:v>
                </c:pt>
                <c:pt idx="13">
                  <c:v>25</c:v>
                </c:pt>
                <c:pt idx="14">
                  <c:v>30</c:v>
                </c:pt>
                <c:pt idx="15">
                  <c:v>35</c:v>
                </c:pt>
                <c:pt idx="16">
                  <c:v>40</c:v>
                </c:pt>
                <c:pt idx="17">
                  <c:v>45</c:v>
                </c:pt>
                <c:pt idx="18">
                  <c:v>50</c:v>
                </c:pt>
                <c:pt idx="19">
                  <c:v>55</c:v>
                </c:pt>
                <c:pt idx="20">
                  <c:v>60</c:v>
                </c:pt>
                <c:pt idx="21">
                  <c:v>65</c:v>
                </c:pt>
                <c:pt idx="22">
                  <c:v>70</c:v>
                </c:pt>
                <c:pt idx="23">
                  <c:v>75</c:v>
                </c:pt>
                <c:pt idx="24">
                  <c:v>80</c:v>
                </c:pt>
                <c:pt idx="25">
                  <c:v>85</c:v>
                </c:pt>
                <c:pt idx="26">
                  <c:v>90</c:v>
                </c:pt>
                <c:pt idx="27">
                  <c:v>95</c:v>
                </c:pt>
                <c:pt idx="28">
                  <c:v>100</c:v>
                </c:pt>
                <c:pt idx="29">
                  <c:v>105</c:v>
                </c:pt>
                <c:pt idx="30">
                  <c:v>110</c:v>
                </c:pt>
                <c:pt idx="31">
                  <c:v>115</c:v>
                </c:pt>
                <c:pt idx="32">
                  <c:v>120</c:v>
                </c:pt>
                <c:pt idx="33">
                  <c:v>125</c:v>
                </c:pt>
                <c:pt idx="34">
                  <c:v>130</c:v>
                </c:pt>
                <c:pt idx="35">
                  <c:v>135</c:v>
                </c:pt>
                <c:pt idx="36">
                  <c:v>140</c:v>
                </c:pt>
                <c:pt idx="37">
                  <c:v>145</c:v>
                </c:pt>
                <c:pt idx="38">
                  <c:v>150</c:v>
                </c:pt>
              </c:numCache>
            </c:numRef>
          </c:xVal>
          <c:yVal>
            <c:numRef>
              <c:f>'Curva Geral'!$E$3:$E$41</c:f>
              <c:numCache>
                <c:formatCode>General</c:formatCode>
                <c:ptCount val="39"/>
                <c:pt idx="0">
                  <c:v>332094</c:v>
                </c:pt>
                <c:pt idx="1">
                  <c:v>239900</c:v>
                </c:pt>
                <c:pt idx="2">
                  <c:v>175200</c:v>
                </c:pt>
                <c:pt idx="3">
                  <c:v>129287</c:v>
                </c:pt>
                <c:pt idx="4">
                  <c:v>96358</c:v>
                </c:pt>
                <c:pt idx="5">
                  <c:v>72500</c:v>
                </c:pt>
                <c:pt idx="6">
                  <c:v>55046</c:v>
                </c:pt>
                <c:pt idx="7">
                  <c:v>42157</c:v>
                </c:pt>
                <c:pt idx="8">
                  <c:v>32554</c:v>
                </c:pt>
                <c:pt idx="9">
                  <c:v>25339</c:v>
                </c:pt>
                <c:pt idx="10">
                  <c:v>19872</c:v>
                </c:pt>
                <c:pt idx="11">
                  <c:v>15698</c:v>
                </c:pt>
                <c:pt idx="12">
                  <c:v>12488</c:v>
                </c:pt>
                <c:pt idx="13">
                  <c:v>10000</c:v>
                </c:pt>
                <c:pt idx="14">
                  <c:v>8059</c:v>
                </c:pt>
                <c:pt idx="15">
                  <c:v>6535</c:v>
                </c:pt>
                <c:pt idx="16">
                  <c:v>5330</c:v>
                </c:pt>
                <c:pt idx="17">
                  <c:v>4372</c:v>
                </c:pt>
                <c:pt idx="18">
                  <c:v>3605</c:v>
                </c:pt>
                <c:pt idx="19">
                  <c:v>2989</c:v>
                </c:pt>
                <c:pt idx="20">
                  <c:v>2490</c:v>
                </c:pt>
                <c:pt idx="21">
                  <c:v>2084</c:v>
                </c:pt>
                <c:pt idx="22">
                  <c:v>1753</c:v>
                </c:pt>
                <c:pt idx="23">
                  <c:v>1481</c:v>
                </c:pt>
                <c:pt idx="24">
                  <c:v>1256</c:v>
                </c:pt>
                <c:pt idx="25">
                  <c:v>1070</c:v>
                </c:pt>
                <c:pt idx="26">
                  <c:v>915.4</c:v>
                </c:pt>
                <c:pt idx="27">
                  <c:v>786</c:v>
                </c:pt>
                <c:pt idx="28">
                  <c:v>677.3</c:v>
                </c:pt>
                <c:pt idx="29">
                  <c:v>585.70000000000005</c:v>
                </c:pt>
                <c:pt idx="30">
                  <c:v>508.3</c:v>
                </c:pt>
                <c:pt idx="31">
                  <c:v>442.6</c:v>
                </c:pt>
                <c:pt idx="32">
                  <c:v>386.6</c:v>
                </c:pt>
                <c:pt idx="33">
                  <c:v>338.7</c:v>
                </c:pt>
                <c:pt idx="34">
                  <c:v>297.7</c:v>
                </c:pt>
                <c:pt idx="35">
                  <c:v>262.39999999999998</c:v>
                </c:pt>
                <c:pt idx="36">
                  <c:v>231.9</c:v>
                </c:pt>
                <c:pt idx="37">
                  <c:v>205.5</c:v>
                </c:pt>
                <c:pt idx="38">
                  <c:v>182.6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5B-45FC-9554-C1DEFCC93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814208"/>
        <c:axId val="51822848"/>
      </c:scatterChart>
      <c:valAx>
        <c:axId val="51814208"/>
        <c:scaling>
          <c:orientation val="minMax"/>
          <c:max val="150"/>
          <c:min val="-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 b="1">
                    <a:latin typeface="Arial" panose="020B0604020202020204" pitchFamily="34" charset="0"/>
                    <a:cs typeface="Arial" panose="020B0604020202020204" pitchFamily="34" charset="0"/>
                  </a:rPr>
                  <a:t>Temperatura (º 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1822848"/>
        <c:crosses val="autoZero"/>
        <c:crossBetween val="midCat"/>
      </c:valAx>
      <c:valAx>
        <c:axId val="518228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 b="1">
                    <a:latin typeface="Arial" panose="020B0604020202020204" pitchFamily="34" charset="0"/>
                    <a:cs typeface="Arial" panose="020B0604020202020204" pitchFamily="34" charset="0"/>
                  </a:rPr>
                  <a:t>Resistência</a:t>
                </a:r>
                <a:r>
                  <a:rPr lang="pt-PT" b="1" baseline="0">
                    <a:latin typeface="Arial" panose="020B0604020202020204" pitchFamily="34" charset="0"/>
                    <a:cs typeface="Arial" panose="020B0604020202020204" pitchFamily="34" charset="0"/>
                  </a:rPr>
                  <a:t>  (</a:t>
                </a:r>
                <a:r>
                  <a:rPr lang="el-GR" sz="1000" b="1" i="0" u="none" strike="noStrike" baseline="0">
                    <a:latin typeface="Arial" panose="020B0604020202020204" pitchFamily="34" charset="0"/>
                    <a:cs typeface="Arial" panose="020B0604020202020204" pitchFamily="34" charset="0"/>
                  </a:rPr>
                  <a:t>Ω</a:t>
                </a:r>
                <a:r>
                  <a:rPr lang="pt-PT" sz="1000" b="1" i="0" u="none" strike="noStrike" baseline="0">
                    <a:latin typeface="Arial" panose="020B0604020202020204" pitchFamily="34" charset="0"/>
                    <a:cs typeface="Arial" panose="020B0604020202020204" pitchFamily="34" charset="0"/>
                  </a:rPr>
                  <a:t>)</a:t>
                </a:r>
                <a:endParaRPr lang="pt-PT" b="1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1814208"/>
        <c:crossesAt val="-4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PT" sz="12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Temperatura vs Resistência [-40,  150] ºC - NTCLE100E3</a:t>
            </a:r>
          </a:p>
        </c:rich>
      </c:tx>
      <c:layout>
        <c:manualLayout>
          <c:xMode val="edge"/>
          <c:yMode val="edge"/>
          <c:x val="0.28219398702574011"/>
          <c:y val="2.62910791642680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>
        <c:manualLayout>
          <c:layoutTarget val="inner"/>
          <c:xMode val="edge"/>
          <c:yMode val="edge"/>
          <c:x val="9.4053262732576151E-2"/>
          <c:y val="8.461772277329617E-2"/>
          <c:w val="0.77792896083273977"/>
          <c:h val="0.82737265634303503"/>
        </c:manualLayout>
      </c:layout>
      <c:scatterChart>
        <c:scatterStyle val="lineMarker"/>
        <c:varyColors val="0"/>
        <c:ser>
          <c:idx val="0"/>
          <c:order val="0"/>
          <c:tx>
            <c:v>RT(kΩ)</c:v>
          </c:tx>
          <c:spPr>
            <a:ln w="25400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0.1007538948681114"/>
                  <c:y val="-0.3679081400834607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lang="en-US" sz="1000" b="0" i="0" u="none" strike="noStrike" kern="1200" baseline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="1" baseline="0"/>
                      <a:t>y = 34.617e</a:t>
                    </a:r>
                    <a:r>
                      <a:rPr lang="en-US" b="1" baseline="30000"/>
                      <a:t>-0.039x</a:t>
                    </a:r>
                    <a:br>
                      <a:rPr lang="en-US" b="1" baseline="0"/>
                    </a:br>
                    <a:r>
                      <a:rPr lang="en-US" b="1" baseline="0"/>
                      <a:t>R² = 0.955</a:t>
                    </a:r>
                    <a:endParaRPr lang="en-US" b="1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'Curva Geral'!$D$3:$D$41</c:f>
              <c:numCache>
                <c:formatCode>General</c:formatCode>
                <c:ptCount val="39"/>
                <c:pt idx="0">
                  <c:v>-40</c:v>
                </c:pt>
                <c:pt idx="1">
                  <c:v>-35</c:v>
                </c:pt>
                <c:pt idx="2">
                  <c:v>-30</c:v>
                </c:pt>
                <c:pt idx="3">
                  <c:v>-25</c:v>
                </c:pt>
                <c:pt idx="4">
                  <c:v>-20</c:v>
                </c:pt>
                <c:pt idx="5">
                  <c:v>-15</c:v>
                </c:pt>
                <c:pt idx="6">
                  <c:v>-10</c:v>
                </c:pt>
                <c:pt idx="7">
                  <c:v>-5</c:v>
                </c:pt>
                <c:pt idx="8">
                  <c:v>0</c:v>
                </c:pt>
                <c:pt idx="9">
                  <c:v>5</c:v>
                </c:pt>
                <c:pt idx="10">
                  <c:v>10</c:v>
                </c:pt>
                <c:pt idx="11">
                  <c:v>15</c:v>
                </c:pt>
                <c:pt idx="12">
                  <c:v>20</c:v>
                </c:pt>
                <c:pt idx="13">
                  <c:v>25</c:v>
                </c:pt>
                <c:pt idx="14">
                  <c:v>30</c:v>
                </c:pt>
                <c:pt idx="15">
                  <c:v>35</c:v>
                </c:pt>
                <c:pt idx="16">
                  <c:v>40</c:v>
                </c:pt>
                <c:pt idx="17">
                  <c:v>45</c:v>
                </c:pt>
                <c:pt idx="18">
                  <c:v>50</c:v>
                </c:pt>
                <c:pt idx="19">
                  <c:v>55</c:v>
                </c:pt>
                <c:pt idx="20">
                  <c:v>60</c:v>
                </c:pt>
                <c:pt idx="21">
                  <c:v>65</c:v>
                </c:pt>
                <c:pt idx="22">
                  <c:v>70</c:v>
                </c:pt>
                <c:pt idx="23">
                  <c:v>75</c:v>
                </c:pt>
                <c:pt idx="24">
                  <c:v>80</c:v>
                </c:pt>
                <c:pt idx="25">
                  <c:v>85</c:v>
                </c:pt>
                <c:pt idx="26">
                  <c:v>90</c:v>
                </c:pt>
                <c:pt idx="27">
                  <c:v>95</c:v>
                </c:pt>
                <c:pt idx="28">
                  <c:v>100</c:v>
                </c:pt>
                <c:pt idx="29">
                  <c:v>105</c:v>
                </c:pt>
                <c:pt idx="30">
                  <c:v>110</c:v>
                </c:pt>
                <c:pt idx="31">
                  <c:v>115</c:v>
                </c:pt>
                <c:pt idx="32">
                  <c:v>120</c:v>
                </c:pt>
                <c:pt idx="33">
                  <c:v>125</c:v>
                </c:pt>
                <c:pt idx="34">
                  <c:v>130</c:v>
                </c:pt>
                <c:pt idx="35">
                  <c:v>135</c:v>
                </c:pt>
                <c:pt idx="36">
                  <c:v>140</c:v>
                </c:pt>
                <c:pt idx="37">
                  <c:v>145</c:v>
                </c:pt>
                <c:pt idx="38">
                  <c:v>150</c:v>
                </c:pt>
              </c:numCache>
            </c:numRef>
          </c:xVal>
          <c:yVal>
            <c:numRef>
              <c:f>'Curva Geral'!$F$3:$F$41</c:f>
              <c:numCache>
                <c:formatCode>General</c:formatCode>
                <c:ptCount val="39"/>
                <c:pt idx="0">
                  <c:v>332.09399999999999</c:v>
                </c:pt>
                <c:pt idx="1">
                  <c:v>239.9</c:v>
                </c:pt>
                <c:pt idx="2">
                  <c:v>175.20000000000002</c:v>
                </c:pt>
                <c:pt idx="3">
                  <c:v>129.28700000000001</c:v>
                </c:pt>
                <c:pt idx="4">
                  <c:v>96.358000000000004</c:v>
                </c:pt>
                <c:pt idx="5">
                  <c:v>72.5</c:v>
                </c:pt>
                <c:pt idx="6">
                  <c:v>55.045999999999999</c:v>
                </c:pt>
                <c:pt idx="7">
                  <c:v>42.157000000000004</c:v>
                </c:pt>
                <c:pt idx="8">
                  <c:v>32.554000000000002</c:v>
                </c:pt>
                <c:pt idx="9">
                  <c:v>25.339000000000002</c:v>
                </c:pt>
                <c:pt idx="10">
                  <c:v>19.872</c:v>
                </c:pt>
                <c:pt idx="11">
                  <c:v>15.698</c:v>
                </c:pt>
                <c:pt idx="12">
                  <c:v>12.488</c:v>
                </c:pt>
                <c:pt idx="13">
                  <c:v>10</c:v>
                </c:pt>
                <c:pt idx="14">
                  <c:v>8.0590000000000011</c:v>
                </c:pt>
                <c:pt idx="15">
                  <c:v>6.5350000000000001</c:v>
                </c:pt>
                <c:pt idx="16">
                  <c:v>5.33</c:v>
                </c:pt>
                <c:pt idx="17">
                  <c:v>4.3719999999999999</c:v>
                </c:pt>
                <c:pt idx="18">
                  <c:v>3.605</c:v>
                </c:pt>
                <c:pt idx="19">
                  <c:v>2.9889999999999999</c:v>
                </c:pt>
                <c:pt idx="20">
                  <c:v>2.4900000000000002</c:v>
                </c:pt>
                <c:pt idx="21">
                  <c:v>2.0840000000000001</c:v>
                </c:pt>
                <c:pt idx="22">
                  <c:v>1.7530000000000001</c:v>
                </c:pt>
                <c:pt idx="23">
                  <c:v>1.4810000000000001</c:v>
                </c:pt>
                <c:pt idx="24">
                  <c:v>1.256</c:v>
                </c:pt>
                <c:pt idx="25">
                  <c:v>1.07</c:v>
                </c:pt>
                <c:pt idx="26">
                  <c:v>0.91539999999999999</c:v>
                </c:pt>
                <c:pt idx="27">
                  <c:v>0.78600000000000003</c:v>
                </c:pt>
                <c:pt idx="28">
                  <c:v>0.67730000000000001</c:v>
                </c:pt>
                <c:pt idx="29">
                  <c:v>0.58570000000000011</c:v>
                </c:pt>
                <c:pt idx="30">
                  <c:v>0.50829999999999997</c:v>
                </c:pt>
                <c:pt idx="31">
                  <c:v>0.44260000000000005</c:v>
                </c:pt>
                <c:pt idx="32">
                  <c:v>0.38660000000000005</c:v>
                </c:pt>
                <c:pt idx="33">
                  <c:v>0.3387</c:v>
                </c:pt>
                <c:pt idx="34">
                  <c:v>0.29770000000000002</c:v>
                </c:pt>
                <c:pt idx="35">
                  <c:v>0.26239999999999997</c:v>
                </c:pt>
                <c:pt idx="36">
                  <c:v>0.23190000000000002</c:v>
                </c:pt>
                <c:pt idx="37">
                  <c:v>0.20550000000000002</c:v>
                </c:pt>
                <c:pt idx="38">
                  <c:v>0.18259999999999998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700-4636-8837-82B5BF28B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814208"/>
        <c:axId val="51822848"/>
      </c:scatterChart>
      <c:valAx>
        <c:axId val="51814208"/>
        <c:scaling>
          <c:orientation val="minMax"/>
          <c:max val="150"/>
          <c:min val="-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 b="1">
                    <a:latin typeface="Arial" panose="020B0604020202020204" pitchFamily="34" charset="0"/>
                    <a:cs typeface="Arial" panose="020B0604020202020204" pitchFamily="34" charset="0"/>
                  </a:rPr>
                  <a:t>Temperatura (º 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1822848"/>
        <c:crosses val="autoZero"/>
        <c:crossBetween val="midCat"/>
        <c:majorUnit val="10"/>
      </c:valAx>
      <c:valAx>
        <c:axId val="518228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 b="1">
                    <a:latin typeface="Arial" panose="020B0604020202020204" pitchFamily="34" charset="0"/>
                    <a:cs typeface="Arial" panose="020B0604020202020204" pitchFamily="34" charset="0"/>
                  </a:rPr>
                  <a:t>Resistência</a:t>
                </a:r>
                <a:r>
                  <a:rPr lang="pt-PT" b="1" baseline="0">
                    <a:latin typeface="Arial" panose="020B0604020202020204" pitchFamily="34" charset="0"/>
                    <a:cs typeface="Arial" panose="020B0604020202020204" pitchFamily="34" charset="0"/>
                  </a:rPr>
                  <a:t>  (k</a:t>
                </a:r>
                <a:r>
                  <a:rPr lang="el-GR" sz="1000" b="1" i="0" u="none" strike="noStrike" baseline="0">
                    <a:latin typeface="Arial" panose="020B0604020202020204" pitchFamily="34" charset="0"/>
                    <a:cs typeface="Arial" panose="020B0604020202020204" pitchFamily="34" charset="0"/>
                  </a:rPr>
                  <a:t>Ω</a:t>
                </a:r>
                <a:r>
                  <a:rPr lang="pt-PT" sz="1000" b="1" i="0" u="none" strike="noStrike" baseline="0">
                    <a:latin typeface="Arial" panose="020B0604020202020204" pitchFamily="34" charset="0"/>
                    <a:cs typeface="Arial" panose="020B0604020202020204" pitchFamily="34" charset="0"/>
                  </a:rPr>
                  <a:t>)</a:t>
                </a:r>
                <a:endParaRPr lang="pt-PT" b="1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1.8625516782065619E-2"/>
              <c:y val="0.388826233171214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1814208"/>
        <c:crossesAt val="-40"/>
        <c:crossBetween val="midCat"/>
        <c:majorUnit val="20"/>
      </c:valAx>
      <c:spPr>
        <a:noFill/>
        <a:ln>
          <a:noFill/>
        </a:ln>
        <a:effectLst/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88073418521879498"/>
          <c:y val="0.39480433745913612"/>
          <c:w val="0.11293452381324647"/>
          <c:h val="6.89435710321902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Temperatura Vs Resistência - [17,  37]ºC - NTCLE100E3(10k)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RT(kΩ)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0.11825715087841537"/>
                  <c:y val="0.15173121558004524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 = 29646e</a:t>
                    </a:r>
                    <a:r>
                      <a:rPr lang="en-US" baseline="30000"/>
                      <a:t>-0.043x</a:t>
                    </a:r>
                    <a:br>
                      <a:rPr lang="en-US" baseline="0"/>
                    </a:br>
                    <a:r>
                      <a:rPr lang="en-US" baseline="0"/>
                      <a:t>R² = 0.9997</a:t>
                    </a:r>
                    <a:endParaRPr lang="en-US">
                      <a:solidFill>
                        <a:srgbClr val="FF0000"/>
                      </a:solidFill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234850953853398"/>
                  <c:y val="0.2194211981506577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PT"/>
                </a:p>
              </c:txPr>
            </c:trendlineLbl>
          </c:trendline>
          <c:xVal>
            <c:numRef>
              <c:f>'Curva Especifica'!$B$3:$B$23</c:f>
              <c:numCache>
                <c:formatCode>General</c:formatCode>
                <c:ptCount val="21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  <c:pt idx="8">
                  <c:v>25</c:v>
                </c:pt>
                <c:pt idx="9">
                  <c:v>26</c:v>
                </c:pt>
                <c:pt idx="10">
                  <c:v>27</c:v>
                </c:pt>
                <c:pt idx="11">
                  <c:v>28</c:v>
                </c:pt>
                <c:pt idx="12">
                  <c:v>29</c:v>
                </c:pt>
                <c:pt idx="13">
                  <c:v>30</c:v>
                </c:pt>
                <c:pt idx="14">
                  <c:v>31</c:v>
                </c:pt>
                <c:pt idx="15">
                  <c:v>32</c:v>
                </c:pt>
                <c:pt idx="16">
                  <c:v>33</c:v>
                </c:pt>
                <c:pt idx="17">
                  <c:v>34</c:v>
                </c:pt>
                <c:pt idx="18">
                  <c:v>35</c:v>
                </c:pt>
                <c:pt idx="19">
                  <c:v>36</c:v>
                </c:pt>
                <c:pt idx="20">
                  <c:v>37</c:v>
                </c:pt>
              </c:numCache>
            </c:numRef>
          </c:xVal>
          <c:yVal>
            <c:numRef>
              <c:f>'Curva Especifica'!$D$3:$D$23</c:f>
              <c:numCache>
                <c:formatCode>0.00</c:formatCode>
                <c:ptCount val="21"/>
                <c:pt idx="0">
                  <c:v>14314.022890328866</c:v>
                </c:pt>
                <c:pt idx="1">
                  <c:v>13673.764946448657</c:v>
                </c:pt>
                <c:pt idx="2">
                  <c:v>13065.680648039015</c:v>
                </c:pt>
                <c:pt idx="3">
                  <c:v>12487.988665099927</c:v>
                </c:pt>
                <c:pt idx="4">
                  <c:v>11939.014873922493</c:v>
                </c:pt>
                <c:pt idx="5">
                  <c:v>11417.185413823972</c:v>
                </c:pt>
                <c:pt idx="6">
                  <c:v>10921.020224034299</c:v>
                </c:pt>
                <c:pt idx="7">
                  <c:v>10449.127025501353</c:v>
                </c:pt>
                <c:pt idx="8">
                  <c:v>10000.195715113117</c:v>
                </c:pt>
                <c:pt idx="9">
                  <c:v>9572.993142340405</c:v>
                </c:pt>
                <c:pt idx="10">
                  <c:v>9166.3582406080532</c:v>
                </c:pt>
                <c:pt idx="11">
                  <c:v>8779.197487819154</c:v>
                </c:pt>
                <c:pt idx="12">
                  <c:v>8410.4806724050177</c:v>
                </c:pt>
                <c:pt idx="13">
                  <c:v>8059.2369430641656</c:v>
                </c:pt>
                <c:pt idx="14">
                  <c:v>7724.5511220030639</c:v>
                </c:pt>
                <c:pt idx="15">
                  <c:v>7405.5602630081503</c:v>
                </c:pt>
                <c:pt idx="16">
                  <c:v>7101.4504370770255</c:v>
                </c:pt>
                <c:pt idx="17">
                  <c:v>6811.4537296239432</c:v>
                </c:pt>
                <c:pt idx="18">
                  <c:v>6534.8454344615147</c:v>
                </c:pt>
                <c:pt idx="19">
                  <c:v>6270.9414308545056</c:v>
                </c:pt>
                <c:pt idx="20">
                  <c:v>6019.0957309503938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E92-403D-8D16-846D258647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4237312"/>
        <c:axId val="1984237792"/>
      </c:scatterChart>
      <c:valAx>
        <c:axId val="1984237312"/>
        <c:scaling>
          <c:orientation val="minMax"/>
          <c:max val="37"/>
          <c:min val="1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Temperatura (º C)</a:t>
                </a:r>
                <a:endParaRPr lang="pt-PT" sz="1000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84237792"/>
        <c:crosses val="autoZero"/>
        <c:crossBetween val="midCat"/>
        <c:majorUnit val="1"/>
      </c:valAx>
      <c:valAx>
        <c:axId val="1984237792"/>
        <c:scaling>
          <c:orientation val="minMax"/>
          <c:max val="15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Resistência  (</a:t>
                </a:r>
                <a:r>
                  <a:rPr lang="el-GR"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Ω</a:t>
                </a:r>
                <a:r>
                  <a:rPr lang="pt-PT" sz="10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)</a:t>
                </a: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pt-PT"/>
              </a:p>
            </c:rich>
          </c:tx>
          <c:layout>
            <c:manualLayout>
              <c:xMode val="edge"/>
              <c:yMode val="edge"/>
              <c:x val="1.2979893219933602E-2"/>
              <c:y val="0.34870490041789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84237312"/>
        <c:crosses val="autoZero"/>
        <c:crossBetween val="midCat"/>
        <c:majorUnit val="1000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Simulação PSpice Vd</a:t>
            </a:r>
            <a:r>
              <a:rPr lang="pt-PT" baseline="0"/>
              <a:t> = f(T)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wheatstone!$B$1</c:f>
              <c:strCache>
                <c:ptCount val="1"/>
                <c:pt idx="0">
                  <c:v>Vd(Pspice)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PT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wheatstone!$A$2:$A$22</c:f>
              <c:numCache>
                <c:formatCode>0</c:formatCode>
                <c:ptCount val="21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  <c:pt idx="8">
                  <c:v>25</c:v>
                </c:pt>
                <c:pt idx="9">
                  <c:v>26</c:v>
                </c:pt>
                <c:pt idx="10">
                  <c:v>27</c:v>
                </c:pt>
                <c:pt idx="11">
                  <c:v>28</c:v>
                </c:pt>
                <c:pt idx="12">
                  <c:v>29</c:v>
                </c:pt>
                <c:pt idx="13">
                  <c:v>30</c:v>
                </c:pt>
                <c:pt idx="14">
                  <c:v>31</c:v>
                </c:pt>
                <c:pt idx="15">
                  <c:v>32</c:v>
                </c:pt>
                <c:pt idx="16">
                  <c:v>33</c:v>
                </c:pt>
                <c:pt idx="17">
                  <c:v>34</c:v>
                </c:pt>
                <c:pt idx="18">
                  <c:v>35</c:v>
                </c:pt>
                <c:pt idx="19">
                  <c:v>36</c:v>
                </c:pt>
                <c:pt idx="20">
                  <c:v>37</c:v>
                </c:pt>
              </c:numCache>
            </c:numRef>
          </c:xVal>
          <c:yVal>
            <c:numRef>
              <c:f>wheatstone!$B$2:$B$22</c:f>
              <c:numCache>
                <c:formatCode>0.000</c:formatCode>
                <c:ptCount val="21"/>
                <c:pt idx="0">
                  <c:v>1.79781445859462E-3</c:v>
                </c:pt>
                <c:pt idx="1">
                  <c:v>-0.15502556569071199</c:v>
                </c:pt>
                <c:pt idx="2">
                  <c:v>-0.31289824545072298</c:v>
                </c:pt>
                <c:pt idx="3">
                  <c:v>-0.47168347901107999</c:v>
                </c:pt>
                <c:pt idx="4">
                  <c:v>-0.63124124006567695</c:v>
                </c:pt>
                <c:pt idx="5">
                  <c:v>-0.79142870283640598</c:v>
                </c:pt>
                <c:pt idx="6">
                  <c:v>-0.95210074448302895</c:v>
                </c:pt>
                <c:pt idx="7">
                  <c:v>-1.1131104652203301</c:v>
                </c:pt>
                <c:pt idx="8">
                  <c:v>-1.2743097222309101</c:v>
                </c:pt>
                <c:pt idx="9">
                  <c:v>-1.4355496732788899</c:v>
                </c:pt>
                <c:pt idx="10">
                  <c:v>-1.59668132580018</c:v>
                </c:pt>
                <c:pt idx="11">
                  <c:v>-1.7575560871715601</c:v>
                </c:pt>
                <c:pt idx="12">
                  <c:v>-1.9180263118449099</c:v>
                </c:pt>
                <c:pt idx="13">
                  <c:v>-2.0779458410752198</c:v>
                </c:pt>
                <c:pt idx="14">
                  <c:v>-2.23717053106978</c:v>
                </c:pt>
                <c:pt idx="15">
                  <c:v>-2.3955587655407098</c:v>
                </c:pt>
                <c:pt idx="16">
                  <c:v>-2.5529719488489402</c:v>
                </c:pt>
                <c:pt idx="17">
                  <c:v>-2.7092749761814199</c:v>
                </c:pt>
                <c:pt idx="18">
                  <c:v>-2.8643366775007602</c:v>
                </c:pt>
                <c:pt idx="19">
                  <c:v>-3.0180302323394299</c:v>
                </c:pt>
                <c:pt idx="20">
                  <c:v>-3.1702335528754002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CA-4D4B-B3B5-E592F4D48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092207"/>
        <c:axId val="1400092687"/>
      </c:scatterChart>
      <c:valAx>
        <c:axId val="1400092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Temperatura - T (ºC)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400092687"/>
        <c:crosses val="autoZero"/>
        <c:crossBetween val="midCat"/>
      </c:valAx>
      <c:valAx>
        <c:axId val="1400092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rPr>
                  <a:t>Tensão Diferencial - Vd (V</a:t>
                </a:r>
                <a:r>
                  <a:rPr lang="pt-PT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400092207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Experimental </a:t>
            </a:r>
            <a:r>
              <a:rPr lang="pt-P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Vd = f(T)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endParaRPr>
          </a:p>
        </c:rich>
      </c:tx>
      <c:layout>
        <c:manualLayout>
          <c:xMode val="edge"/>
          <c:yMode val="edge"/>
          <c:x val="0.32129121923565934"/>
          <c:y val="3.74681952341635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wheatstone!$B$28</c:f>
              <c:strCache>
                <c:ptCount val="1"/>
                <c:pt idx="0">
                  <c:v>Vd (Teste Ponte)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9084271506765719E-2"/>
                  <c:y val="0.1028748515918082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PT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8.4622810487522945E-2"/>
                  <c:y val="0.1671060434218029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PT"/>
                </a:p>
              </c:txPr>
            </c:trendlineLbl>
          </c:trendline>
          <c:xVal>
            <c:numRef>
              <c:f>wheatstone!$A$29:$A$39</c:f>
              <c:numCache>
                <c:formatCode>0.00</c:formatCode>
                <c:ptCount val="11"/>
                <c:pt idx="0">
                  <c:v>23.823086574654958</c:v>
                </c:pt>
                <c:pt idx="1">
                  <c:v>24.544542032622335</c:v>
                </c:pt>
                <c:pt idx="2">
                  <c:v>26.119196988707657</c:v>
                </c:pt>
                <c:pt idx="3">
                  <c:v>27.480552070263489</c:v>
                </c:pt>
                <c:pt idx="4">
                  <c:v>29.067754077791722</c:v>
                </c:pt>
                <c:pt idx="5">
                  <c:v>30.573400250941031</c:v>
                </c:pt>
                <c:pt idx="6">
                  <c:v>31.997490589711422</c:v>
                </c:pt>
                <c:pt idx="7">
                  <c:v>32.850690087829364</c:v>
                </c:pt>
                <c:pt idx="8">
                  <c:v>33.28356336260979</c:v>
                </c:pt>
                <c:pt idx="9">
                  <c:v>34.707653701380181</c:v>
                </c:pt>
                <c:pt idx="10">
                  <c:v>36.690087829360102</c:v>
                </c:pt>
              </c:numCache>
            </c:numRef>
          </c:xVal>
          <c:yVal>
            <c:numRef>
              <c:f>wheatstone!$B$29:$B$39</c:f>
              <c:numCache>
                <c:formatCode>0.000</c:formatCode>
                <c:ptCount val="11"/>
                <c:pt idx="0">
                  <c:v>-1.085</c:v>
                </c:pt>
                <c:pt idx="1">
                  <c:v>-1.2</c:v>
                </c:pt>
                <c:pt idx="2">
                  <c:v>-1.4510000000000001</c:v>
                </c:pt>
                <c:pt idx="3">
                  <c:v>-1.6679999999999999</c:v>
                </c:pt>
                <c:pt idx="4">
                  <c:v>-1.921</c:v>
                </c:pt>
                <c:pt idx="5">
                  <c:v>-2.161</c:v>
                </c:pt>
                <c:pt idx="6">
                  <c:v>-2.3879999999999999</c:v>
                </c:pt>
                <c:pt idx="7">
                  <c:v>-2.524</c:v>
                </c:pt>
                <c:pt idx="8">
                  <c:v>-2.593</c:v>
                </c:pt>
                <c:pt idx="9">
                  <c:v>-2.82</c:v>
                </c:pt>
                <c:pt idx="10">
                  <c:v>-3.1360000000000001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F1-476E-AB6E-3A392A4C6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0622128"/>
        <c:axId val="1520623568"/>
      </c:scatterChart>
      <c:valAx>
        <c:axId val="1520622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Temperatura (ºC)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520623568"/>
        <c:crosses val="autoZero"/>
        <c:crossBetween val="midCat"/>
      </c:valAx>
      <c:valAx>
        <c:axId val="152062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Vd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520622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Teórico</a:t>
            </a:r>
            <a:r>
              <a:rPr lang="en-US" baseline="0"/>
              <a:t> </a:t>
            </a:r>
            <a:r>
              <a:rPr lang="en-US"/>
              <a:t>Vd = f(T)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wheatstone!$B$43</c:f>
              <c:strCache>
                <c:ptCount val="1"/>
                <c:pt idx="0">
                  <c:v>Vd (Teórico)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9048824943965941E-2"/>
                  <c:y val="0.1185769202600486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PT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wheatstone!$A$44:$A$64</c:f>
              <c:numCache>
                <c:formatCode>General</c:formatCode>
                <c:ptCount val="21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  <c:pt idx="8">
                  <c:v>25</c:v>
                </c:pt>
                <c:pt idx="9">
                  <c:v>26</c:v>
                </c:pt>
                <c:pt idx="10">
                  <c:v>27</c:v>
                </c:pt>
                <c:pt idx="11">
                  <c:v>28</c:v>
                </c:pt>
                <c:pt idx="12">
                  <c:v>29</c:v>
                </c:pt>
                <c:pt idx="13">
                  <c:v>30</c:v>
                </c:pt>
                <c:pt idx="14">
                  <c:v>31</c:v>
                </c:pt>
                <c:pt idx="15">
                  <c:v>32</c:v>
                </c:pt>
                <c:pt idx="16">
                  <c:v>33</c:v>
                </c:pt>
                <c:pt idx="17">
                  <c:v>34</c:v>
                </c:pt>
                <c:pt idx="18">
                  <c:v>35</c:v>
                </c:pt>
                <c:pt idx="19">
                  <c:v>36</c:v>
                </c:pt>
                <c:pt idx="20">
                  <c:v>37</c:v>
                </c:pt>
              </c:numCache>
            </c:numRef>
          </c:xVal>
          <c:yVal>
            <c:numRef>
              <c:f>wheatstone!$B$44:$B$64</c:f>
              <c:numCache>
                <c:formatCode>0.000</c:formatCode>
                <c:ptCount val="21"/>
                <c:pt idx="0">
                  <c:v>4.9999999999972289E-4</c:v>
                </c:pt>
                <c:pt idx="1">
                  <c:v>-0.15800000000000036</c:v>
                </c:pt>
                <c:pt idx="2">
                  <c:v>-0.3165</c:v>
                </c:pt>
                <c:pt idx="3">
                  <c:v>-0.47500000000000009</c:v>
                </c:pt>
                <c:pt idx="4">
                  <c:v>-0.63350000000000017</c:v>
                </c:pt>
                <c:pt idx="5">
                  <c:v>-0.79200000000000026</c:v>
                </c:pt>
                <c:pt idx="6">
                  <c:v>-0.95050000000000034</c:v>
                </c:pt>
                <c:pt idx="7">
                  <c:v>-1.1090000000000004</c:v>
                </c:pt>
                <c:pt idx="8">
                  <c:v>-1.2675000000000001</c:v>
                </c:pt>
                <c:pt idx="9">
                  <c:v>-1.4260000000000006</c:v>
                </c:pt>
                <c:pt idx="10">
                  <c:v>-1.5844999999999998</c:v>
                </c:pt>
                <c:pt idx="11">
                  <c:v>-1.7429999999999999</c:v>
                </c:pt>
                <c:pt idx="12">
                  <c:v>-1.9015</c:v>
                </c:pt>
                <c:pt idx="13">
                  <c:v>-2.06</c:v>
                </c:pt>
                <c:pt idx="14">
                  <c:v>-2.2185000000000001</c:v>
                </c:pt>
                <c:pt idx="15">
                  <c:v>-2.3770000000000002</c:v>
                </c:pt>
                <c:pt idx="16">
                  <c:v>-2.5355000000000003</c:v>
                </c:pt>
                <c:pt idx="17">
                  <c:v>-2.6940000000000004</c:v>
                </c:pt>
                <c:pt idx="18">
                  <c:v>-2.8525000000000005</c:v>
                </c:pt>
                <c:pt idx="19">
                  <c:v>-3.0110000000000006</c:v>
                </c:pt>
                <c:pt idx="20">
                  <c:v>-3.1695000000000007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AC-4198-BC0A-889384B3F2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5481439"/>
        <c:axId val="1445479519"/>
      </c:scatterChart>
      <c:valAx>
        <c:axId val="1445481439"/>
        <c:scaling>
          <c:orientation val="minMax"/>
          <c:max val="40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Temperatura - T</a:t>
                </a:r>
                <a:r>
                  <a:rPr lang="pt-PT" baseline="0"/>
                  <a:t> (ºC)</a:t>
                </a: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445479519"/>
        <c:crosses val="autoZero"/>
        <c:crossBetween val="midCat"/>
        <c:majorUnit val="2"/>
      </c:valAx>
      <c:valAx>
        <c:axId val="1445479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 Tensão Diferencial - Vd</a:t>
                </a:r>
                <a:r>
                  <a:rPr lang="pt-PT" baseline="0"/>
                  <a:t> (V)</a:t>
                </a: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445481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wheatstone!$T$28:$T$29</c:f>
              <c:strCache>
                <c:ptCount val="2"/>
                <c:pt idx="0">
                  <c:v>Vd (Teste Ponte)</c:v>
                </c:pt>
                <c:pt idx="1">
                  <c:v>1.085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PT"/>
                </a:p>
              </c:txPr>
            </c:trendlineLbl>
          </c:trendline>
          <c:xVal>
            <c:numRef>
              <c:f>wheatstone!$S$30:$S$39</c:f>
              <c:numCache>
                <c:formatCode>0.00</c:formatCode>
                <c:ptCount val="10"/>
                <c:pt idx="0">
                  <c:v>24.54</c:v>
                </c:pt>
                <c:pt idx="1">
                  <c:v>26.12</c:v>
                </c:pt>
                <c:pt idx="2">
                  <c:v>27.48</c:v>
                </c:pt>
                <c:pt idx="3">
                  <c:v>29.07</c:v>
                </c:pt>
                <c:pt idx="4">
                  <c:v>30.57</c:v>
                </c:pt>
                <c:pt idx="5">
                  <c:v>32</c:v>
                </c:pt>
                <c:pt idx="6">
                  <c:v>32.85</c:v>
                </c:pt>
                <c:pt idx="7">
                  <c:v>33.28</c:v>
                </c:pt>
                <c:pt idx="8">
                  <c:v>34.71</c:v>
                </c:pt>
                <c:pt idx="9">
                  <c:v>36.69</c:v>
                </c:pt>
              </c:numCache>
            </c:numRef>
          </c:xVal>
          <c:yVal>
            <c:numRef>
              <c:f>wheatstone!$T$30:$T$39</c:f>
              <c:numCache>
                <c:formatCode>0.000</c:formatCode>
                <c:ptCount val="10"/>
                <c:pt idx="0">
                  <c:v>1.2</c:v>
                </c:pt>
                <c:pt idx="1">
                  <c:v>1.4510000000000001</c:v>
                </c:pt>
                <c:pt idx="2">
                  <c:v>1.6679999999999999</c:v>
                </c:pt>
                <c:pt idx="3">
                  <c:v>1.921</c:v>
                </c:pt>
                <c:pt idx="4">
                  <c:v>2.161</c:v>
                </c:pt>
                <c:pt idx="5">
                  <c:v>2.3879999999999999</c:v>
                </c:pt>
                <c:pt idx="6">
                  <c:v>2.524</c:v>
                </c:pt>
                <c:pt idx="7">
                  <c:v>2.593</c:v>
                </c:pt>
                <c:pt idx="8">
                  <c:v>2.82</c:v>
                </c:pt>
                <c:pt idx="9">
                  <c:v>3.1360000000000001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CB-4515-9697-CAECC9B9F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5038479"/>
        <c:axId val="445034639"/>
      </c:scatterChart>
      <c:valAx>
        <c:axId val="445038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445034639"/>
        <c:crosses val="autoZero"/>
        <c:crossBetween val="midCat"/>
      </c:valAx>
      <c:valAx>
        <c:axId val="44503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445038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          PSpice V1=f(T)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ia!$C$1</c:f>
              <c:strCache>
                <c:ptCount val="1"/>
                <c:pt idx="0">
                  <c:v>V1  (Pspice) (V)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2.4592519685039369E-2"/>
                  <c:y val="-0.16382731782804605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 = 0.2519T - 4.285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9.3300962379702437E-2"/>
                  <c:y val="-0.1108408053039612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PT"/>
                </a:p>
              </c:txPr>
            </c:trendlineLbl>
          </c:trendline>
          <c:xVal>
            <c:numRef>
              <c:f>ia!$A$2:$A$22</c:f>
              <c:numCache>
                <c:formatCode>0.00</c:formatCode>
                <c:ptCount val="21"/>
                <c:pt idx="0">
                  <c:v>17</c:v>
                </c:pt>
                <c:pt idx="1">
                  <c:v>18</c:v>
                </c:pt>
                <c:pt idx="2">
                  <c:v>19</c:v>
                </c:pt>
                <c:pt idx="3">
                  <c:v>20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24</c:v>
                </c:pt>
                <c:pt idx="8">
                  <c:v>25</c:v>
                </c:pt>
                <c:pt idx="9">
                  <c:v>26</c:v>
                </c:pt>
                <c:pt idx="10">
                  <c:v>27</c:v>
                </c:pt>
                <c:pt idx="11">
                  <c:v>28</c:v>
                </c:pt>
                <c:pt idx="12">
                  <c:v>29</c:v>
                </c:pt>
                <c:pt idx="13">
                  <c:v>30</c:v>
                </c:pt>
                <c:pt idx="14">
                  <c:v>31</c:v>
                </c:pt>
                <c:pt idx="15">
                  <c:v>32</c:v>
                </c:pt>
                <c:pt idx="16">
                  <c:v>33</c:v>
                </c:pt>
                <c:pt idx="17">
                  <c:v>34</c:v>
                </c:pt>
                <c:pt idx="18">
                  <c:v>35</c:v>
                </c:pt>
                <c:pt idx="19">
                  <c:v>36</c:v>
                </c:pt>
                <c:pt idx="20">
                  <c:v>37</c:v>
                </c:pt>
              </c:numCache>
            </c:numRef>
          </c:xVal>
          <c:yVal>
            <c:numRef>
              <c:f>ia!$C$2:$C$22</c:f>
              <c:numCache>
                <c:formatCode>0.00</c:formatCode>
                <c:ptCount val="21"/>
                <c:pt idx="0">
                  <c:v>-3.0619771703239698E-3</c:v>
                </c:pt>
                <c:pt idx="1">
                  <c:v>0.24471370530702199</c:v>
                </c:pt>
                <c:pt idx="2">
                  <c:v>0.49414735225929901</c:v>
                </c:pt>
                <c:pt idx="3">
                  <c:v>0.74502273646700601</c:v>
                </c:pt>
                <c:pt idx="4">
                  <c:v>0.99711879445882001</c:v>
                </c:pt>
                <c:pt idx="5">
                  <c:v>1.2502096926369499</c:v>
                </c:pt>
                <c:pt idx="6">
                  <c:v>1.5040661504966299</c:v>
                </c:pt>
                <c:pt idx="7">
                  <c:v>1.7584562611900201</c:v>
                </c:pt>
                <c:pt idx="8">
                  <c:v>2.0131457141771998</c:v>
                </c:pt>
                <c:pt idx="9">
                  <c:v>2.2678995931232402</c:v>
                </c:pt>
                <c:pt idx="10">
                  <c:v>2.52248224567336</c:v>
                </c:pt>
                <c:pt idx="11">
                  <c:v>2.7766591494177799</c:v>
                </c:pt>
                <c:pt idx="12">
                  <c:v>3.0301967795916398</c:v>
                </c:pt>
                <c:pt idx="13">
                  <c:v>3.28286445956951</c:v>
                </c:pt>
                <c:pt idx="14">
                  <c:v>3.5344341975650599</c:v>
                </c:pt>
                <c:pt idx="15">
                  <c:v>3.7846824936675301</c:v>
                </c:pt>
                <c:pt idx="16">
                  <c:v>4.0333901215590604</c:v>
                </c:pt>
                <c:pt idx="17">
                  <c:v>4.2803438693623397</c:v>
                </c:pt>
                <c:pt idx="18">
                  <c:v>4.5253362430880903</c:v>
                </c:pt>
                <c:pt idx="19">
                  <c:v>4.7681672441288301</c:v>
                </c:pt>
                <c:pt idx="20">
                  <c:v>5.0086433826787404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FA7-40DE-8A59-9FD990DC6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2645391"/>
        <c:axId val="732650671"/>
      </c:scatterChart>
      <c:valAx>
        <c:axId val="732645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Temperatura (ºC)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32650671"/>
        <c:crosses val="autoZero"/>
        <c:crossBetween val="midCat"/>
      </c:valAx>
      <c:valAx>
        <c:axId val="732650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Vout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326453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Experimental</a:t>
            </a:r>
            <a:r>
              <a:rPr lang="pt-PT" baseline="0"/>
              <a:t> V1 = f(T)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8357611548556431E-2"/>
                  <c:y val="-0.19268554972295129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 = 0.2507T- 4.3346</a:t>
                    </a:r>
                    <a:br>
                      <a:rPr lang="en-US" baseline="0"/>
                    </a:br>
                    <a:r>
                      <a:rPr lang="en-US" baseline="0"/>
                      <a:t>R² = 0.996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ia!$A$29:$A$35</c:f>
              <c:numCache>
                <c:formatCode>0.00</c:formatCode>
                <c:ptCount val="7"/>
                <c:pt idx="0">
                  <c:v>16.93230534361075</c:v>
                </c:pt>
                <c:pt idx="1">
                  <c:v>20.782453165946727</c:v>
                </c:pt>
                <c:pt idx="2">
                  <c:v>22.823060476506893</c:v>
                </c:pt>
                <c:pt idx="3">
                  <c:v>27.723317017568576</c:v>
                </c:pt>
                <c:pt idx="4">
                  <c:v>31.110950486078323</c:v>
                </c:pt>
                <c:pt idx="5">
                  <c:v>33.66772056556362</c:v>
                </c:pt>
                <c:pt idx="6">
                  <c:v>37.067622768188976</c:v>
                </c:pt>
              </c:numCache>
            </c:numRef>
          </c:xVal>
          <c:yVal>
            <c:numRef>
              <c:f>ia!$C$29:$C$35</c:f>
              <c:numCache>
                <c:formatCode>0.00</c:formatCode>
                <c:ptCount val="7"/>
                <c:pt idx="0">
                  <c:v>0.01</c:v>
                </c:pt>
                <c:pt idx="1">
                  <c:v>0.6</c:v>
                </c:pt>
                <c:pt idx="2">
                  <c:v>0.93</c:v>
                </c:pt>
                <c:pt idx="3" formatCode="General">
                  <c:v>1.71</c:v>
                </c:pt>
                <c:pt idx="4">
                  <c:v>2.25</c:v>
                </c:pt>
                <c:pt idx="5">
                  <c:v>2.65</c:v>
                </c:pt>
                <c:pt idx="6">
                  <c:v>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28-496F-877F-0039BC173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110816"/>
        <c:axId val="76112736"/>
      </c:scatterChart>
      <c:valAx>
        <c:axId val="76110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Temperatura</a:t>
                </a:r>
                <a:r>
                  <a:rPr lang="pt-PT" baseline="0"/>
                  <a:t> - T / </a:t>
                </a:r>
                <a:r>
                  <a:rPr lang="pt-PT"/>
                  <a:t>ºC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6112736"/>
        <c:crosses val="autoZero"/>
        <c:crossBetween val="midCat"/>
      </c:valAx>
      <c:valAx>
        <c:axId val="76112736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VOut</a:t>
                </a:r>
                <a:r>
                  <a:rPr lang="pt-PT" baseline="0"/>
                  <a:t> / V</a:t>
                </a: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6110816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Experimental V1=f(Vd)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 = 1.5792Vd - 0.0868</a:t>
                    </a:r>
                    <a:br>
                      <a:rPr lang="en-US" baseline="0"/>
                    </a:br>
                    <a:r>
                      <a:rPr lang="en-US" baseline="0"/>
                      <a:t>R² = 0.99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ia!$C$29:$C$35</c:f>
              <c:numCache>
                <c:formatCode>0.00</c:formatCode>
                <c:ptCount val="7"/>
                <c:pt idx="0">
                  <c:v>0.01</c:v>
                </c:pt>
                <c:pt idx="1">
                  <c:v>0.6</c:v>
                </c:pt>
                <c:pt idx="2">
                  <c:v>0.93</c:v>
                </c:pt>
                <c:pt idx="3" formatCode="General">
                  <c:v>1.71</c:v>
                </c:pt>
                <c:pt idx="4">
                  <c:v>2.25</c:v>
                </c:pt>
                <c:pt idx="5">
                  <c:v>2.65</c:v>
                </c:pt>
                <c:pt idx="6">
                  <c:v>3.2</c:v>
                </c:pt>
              </c:numCache>
            </c:numRef>
          </c:xVal>
          <c:yVal>
            <c:numRef>
              <c:f>ia!$D$29:$D$35</c:f>
              <c:numCache>
                <c:formatCode>0.00</c:formatCode>
                <c:ptCount val="7"/>
                <c:pt idx="0">
                  <c:v>0.06</c:v>
                </c:pt>
                <c:pt idx="1">
                  <c:v>0.73</c:v>
                </c:pt>
                <c:pt idx="2">
                  <c:v>1.3</c:v>
                </c:pt>
                <c:pt idx="3">
                  <c:v>2.61</c:v>
                </c:pt>
                <c:pt idx="4">
                  <c:v>3.5259999999999998</c:v>
                </c:pt>
                <c:pt idx="5">
                  <c:v>4.2</c:v>
                </c:pt>
                <c:pt idx="6">
                  <c:v>4.8899999999999997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06-4A90-B715-C9BC81E92A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827087"/>
        <c:axId val="500828047"/>
      </c:scatterChart>
      <c:valAx>
        <c:axId val="500827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Vd / 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00828047"/>
        <c:crosses val="autoZero"/>
        <c:crossBetween val="midCat"/>
        <c:majorUnit val="0.5"/>
        <c:minorUnit val="0.1"/>
      </c:valAx>
      <c:valAx>
        <c:axId val="50082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V1</a:t>
                </a:r>
                <a:r>
                  <a:rPr lang="pt-PT" baseline="0"/>
                  <a:t>  / V</a:t>
                </a: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00827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V2=f(T)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4625546806649169E-2"/>
                  <c:y val="-0.17214644182687217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 = 0.088T + 0.3109</a:t>
                    </a:r>
                    <a:br>
                      <a:rPr lang="en-US" baseline="0"/>
                    </a:br>
                    <a:r>
                      <a:rPr lang="en-US" baseline="0"/>
                      <a:t>R² = 0.839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'precision limiter'!$B$2:$B$82</c:f>
              <c:numCache>
                <c:formatCode>General</c:formatCode>
                <c:ptCount val="81"/>
                <c:pt idx="0">
                  <c:v>-20</c:v>
                </c:pt>
                <c:pt idx="1">
                  <c:v>-19</c:v>
                </c:pt>
                <c:pt idx="2">
                  <c:v>-18</c:v>
                </c:pt>
                <c:pt idx="3">
                  <c:v>-17</c:v>
                </c:pt>
                <c:pt idx="4">
                  <c:v>-16</c:v>
                </c:pt>
                <c:pt idx="5">
                  <c:v>-15</c:v>
                </c:pt>
                <c:pt idx="6">
                  <c:v>-14</c:v>
                </c:pt>
                <c:pt idx="7">
                  <c:v>-13</c:v>
                </c:pt>
                <c:pt idx="8">
                  <c:v>-12</c:v>
                </c:pt>
                <c:pt idx="9">
                  <c:v>-11</c:v>
                </c:pt>
                <c:pt idx="10">
                  <c:v>-10</c:v>
                </c:pt>
                <c:pt idx="11">
                  <c:v>-9</c:v>
                </c:pt>
                <c:pt idx="12">
                  <c:v>-8</c:v>
                </c:pt>
                <c:pt idx="13">
                  <c:v>-7</c:v>
                </c:pt>
                <c:pt idx="14">
                  <c:v>-6</c:v>
                </c:pt>
                <c:pt idx="15">
                  <c:v>-5</c:v>
                </c:pt>
                <c:pt idx="16">
                  <c:v>-4</c:v>
                </c:pt>
                <c:pt idx="17">
                  <c:v>-3</c:v>
                </c:pt>
                <c:pt idx="18">
                  <c:v>-2</c:v>
                </c:pt>
                <c:pt idx="19">
                  <c:v>-1</c:v>
                </c:pt>
                <c:pt idx="20">
                  <c:v>0</c:v>
                </c:pt>
                <c:pt idx="21">
                  <c:v>1</c:v>
                </c:pt>
                <c:pt idx="22">
                  <c:v>2</c:v>
                </c:pt>
                <c:pt idx="23">
                  <c:v>3</c:v>
                </c:pt>
                <c:pt idx="24">
                  <c:v>4</c:v>
                </c:pt>
                <c:pt idx="25">
                  <c:v>5</c:v>
                </c:pt>
                <c:pt idx="26">
                  <c:v>6</c:v>
                </c:pt>
                <c:pt idx="27">
                  <c:v>7</c:v>
                </c:pt>
                <c:pt idx="28">
                  <c:v>8</c:v>
                </c:pt>
                <c:pt idx="29">
                  <c:v>9</c:v>
                </c:pt>
                <c:pt idx="30">
                  <c:v>10</c:v>
                </c:pt>
                <c:pt idx="31">
                  <c:v>11</c:v>
                </c:pt>
                <c:pt idx="32">
                  <c:v>12</c:v>
                </c:pt>
                <c:pt idx="33">
                  <c:v>13</c:v>
                </c:pt>
                <c:pt idx="34">
                  <c:v>14</c:v>
                </c:pt>
                <c:pt idx="35">
                  <c:v>15</c:v>
                </c:pt>
                <c:pt idx="36">
                  <c:v>16</c:v>
                </c:pt>
                <c:pt idx="37">
                  <c:v>17</c:v>
                </c:pt>
                <c:pt idx="38">
                  <c:v>18</c:v>
                </c:pt>
                <c:pt idx="39">
                  <c:v>19</c:v>
                </c:pt>
                <c:pt idx="40">
                  <c:v>20</c:v>
                </c:pt>
                <c:pt idx="41">
                  <c:v>21</c:v>
                </c:pt>
                <c:pt idx="42">
                  <c:v>22</c:v>
                </c:pt>
                <c:pt idx="43">
                  <c:v>23</c:v>
                </c:pt>
                <c:pt idx="44">
                  <c:v>24</c:v>
                </c:pt>
                <c:pt idx="45">
                  <c:v>25</c:v>
                </c:pt>
                <c:pt idx="46">
                  <c:v>26</c:v>
                </c:pt>
                <c:pt idx="47">
                  <c:v>27</c:v>
                </c:pt>
                <c:pt idx="48">
                  <c:v>28</c:v>
                </c:pt>
                <c:pt idx="49">
                  <c:v>29</c:v>
                </c:pt>
                <c:pt idx="50">
                  <c:v>30</c:v>
                </c:pt>
                <c:pt idx="51">
                  <c:v>31</c:v>
                </c:pt>
                <c:pt idx="52">
                  <c:v>32</c:v>
                </c:pt>
                <c:pt idx="53">
                  <c:v>33</c:v>
                </c:pt>
                <c:pt idx="54">
                  <c:v>34</c:v>
                </c:pt>
                <c:pt idx="55">
                  <c:v>35</c:v>
                </c:pt>
                <c:pt idx="56">
                  <c:v>36</c:v>
                </c:pt>
                <c:pt idx="57">
                  <c:v>37</c:v>
                </c:pt>
                <c:pt idx="58">
                  <c:v>38</c:v>
                </c:pt>
                <c:pt idx="59">
                  <c:v>39</c:v>
                </c:pt>
                <c:pt idx="60">
                  <c:v>40</c:v>
                </c:pt>
                <c:pt idx="61">
                  <c:v>41</c:v>
                </c:pt>
                <c:pt idx="62">
                  <c:v>42</c:v>
                </c:pt>
                <c:pt idx="63">
                  <c:v>43</c:v>
                </c:pt>
                <c:pt idx="64">
                  <c:v>44</c:v>
                </c:pt>
                <c:pt idx="65">
                  <c:v>45</c:v>
                </c:pt>
                <c:pt idx="66">
                  <c:v>46</c:v>
                </c:pt>
                <c:pt idx="67">
                  <c:v>47</c:v>
                </c:pt>
                <c:pt idx="68">
                  <c:v>48</c:v>
                </c:pt>
                <c:pt idx="69">
                  <c:v>49</c:v>
                </c:pt>
                <c:pt idx="70">
                  <c:v>50</c:v>
                </c:pt>
                <c:pt idx="71">
                  <c:v>51</c:v>
                </c:pt>
                <c:pt idx="72">
                  <c:v>52</c:v>
                </c:pt>
                <c:pt idx="73">
                  <c:v>53</c:v>
                </c:pt>
                <c:pt idx="74">
                  <c:v>54</c:v>
                </c:pt>
                <c:pt idx="75">
                  <c:v>55</c:v>
                </c:pt>
                <c:pt idx="76">
                  <c:v>56</c:v>
                </c:pt>
                <c:pt idx="77">
                  <c:v>57</c:v>
                </c:pt>
                <c:pt idx="78">
                  <c:v>58</c:v>
                </c:pt>
                <c:pt idx="79">
                  <c:v>59</c:v>
                </c:pt>
                <c:pt idx="80">
                  <c:v>60</c:v>
                </c:pt>
              </c:numCache>
            </c:numRef>
          </c:xVal>
          <c:yVal>
            <c:numRef>
              <c:f>'precision limiter'!$E$2:$E$82</c:f>
              <c:numCache>
                <c:formatCode>0.000</c:formatCode>
                <c:ptCount val="81"/>
                <c:pt idx="0">
                  <c:v>7.62939453125E-6</c:v>
                </c:pt>
                <c:pt idx="1">
                  <c:v>7.6363933337319395E-6</c:v>
                </c:pt>
                <c:pt idx="2">
                  <c:v>7.6368245896869704E-6</c:v>
                </c:pt>
                <c:pt idx="3">
                  <c:v>7.6374080186686495E-6</c:v>
                </c:pt>
                <c:pt idx="4">
                  <c:v>7.6381790541742893E-6</c:v>
                </c:pt>
                <c:pt idx="5">
                  <c:v>7.6391996513872696E-6</c:v>
                </c:pt>
                <c:pt idx="6">
                  <c:v>7.6405845107644693E-6</c:v>
                </c:pt>
                <c:pt idx="7">
                  <c:v>7.6425715972338705E-6</c:v>
                </c:pt>
                <c:pt idx="8">
                  <c:v>7.6457709332411097E-6</c:v>
                </c:pt>
                <c:pt idx="9">
                  <c:v>7.6524445583266395E-6</c:v>
                </c:pt>
                <c:pt idx="10">
                  <c:v>7.6707558565855592E-6</c:v>
                </c:pt>
                <c:pt idx="11">
                  <c:v>7.6968888339578905E-6</c:v>
                </c:pt>
                <c:pt idx="12">
                  <c:v>7.7241906154887092E-6</c:v>
                </c:pt>
                <c:pt idx="13">
                  <c:v>7.7524385955778603E-6</c:v>
                </c:pt>
                <c:pt idx="14">
                  <c:v>7.7816649765504702E-6</c:v>
                </c:pt>
                <c:pt idx="15">
                  <c:v>7.8119071993375995E-6</c:v>
                </c:pt>
                <c:pt idx="16">
                  <c:v>7.8432066606332907E-6</c:v>
                </c:pt>
                <c:pt idx="17">
                  <c:v>7.8756095129607702E-6</c:v>
                </c:pt>
                <c:pt idx="18">
                  <c:v>7.9091677786493603E-6</c:v>
                </c:pt>
                <c:pt idx="19">
                  <c:v>7.9439408303342294E-6</c:v>
                </c:pt>
                <c:pt idx="20">
                  <c:v>7.9799973721486501E-6</c:v>
                </c:pt>
                <c:pt idx="21">
                  <c:v>8.0174177761557293E-6</c:v>
                </c:pt>
                <c:pt idx="22">
                  <c:v>8.0562975625138598E-6</c:v>
                </c:pt>
                <c:pt idx="23">
                  <c:v>8.0967517120790903E-6</c:v>
                </c:pt>
                <c:pt idx="24">
                  <c:v>8.1389209973993497E-6</c:v>
                </c:pt>
                <c:pt idx="25">
                  <c:v>8.1829804182676202E-6</c:v>
                </c:pt>
                <c:pt idx="26">
                  <c:v>8.2291518269395894E-6</c:v>
                </c:pt>
                <c:pt idx="27">
                  <c:v>8.2777220954260006E-6</c:v>
                </c:pt>
                <c:pt idx="28">
                  <c:v>8.3290713664267395E-6</c:v>
                </c:pt>
                <c:pt idx="29">
                  <c:v>8.3837175270686796E-6</c:v>
                </c:pt>
                <c:pt idx="30">
                  <c:v>8.4423909921971302E-6</c:v>
                </c:pt>
                <c:pt idx="31">
                  <c:v>8.5061668465827292E-6</c:v>
                </c:pt>
                <c:pt idx="32">
                  <c:v>8.5767189127739708E-6</c:v>
                </c:pt>
                <c:pt idx="33">
                  <c:v>8.6568594035650306E-6</c:v>
                </c:pt>
                <c:pt idx="34">
                  <c:v>8.7518675288917393E-6</c:v>
                </c:pt>
                <c:pt idx="35">
                  <c:v>8.8735878910170002E-6</c:v>
                </c:pt>
                <c:pt idx="36">
                  <c:v>9.0596114337041003E-6</c:v>
                </c:pt>
                <c:pt idx="37">
                  <c:v>1.00835311801008E-5</c:v>
                </c:pt>
                <c:pt idx="38">
                  <c:v>0.24471456553812501</c:v>
                </c:pt>
                <c:pt idx="39">
                  <c:v>0.49414011150279102</c:v>
                </c:pt>
                <c:pt idx="40">
                  <c:v>0.74500741273814797</c:v>
                </c:pt>
                <c:pt idx="41">
                  <c:v>0.99709523949710599</c:v>
                </c:pt>
                <c:pt idx="42">
                  <c:v>1.25017793874037</c:v>
                </c:pt>
                <c:pt idx="43">
                  <c:v>1.5040262284819099</c:v>
                </c:pt>
                <c:pt idx="44">
                  <c:v>1.7584080193356399</c:v>
                </c:pt>
                <c:pt idx="45">
                  <c:v>2.0130892581433</c:v>
                </c:pt>
                <c:pt idx="46">
                  <c:v>2.2678347865803601</c:v>
                </c:pt>
                <c:pt idx="47">
                  <c:v>2.5224092090030998</c:v>
                </c:pt>
                <c:pt idx="48">
                  <c:v>2.7765777611106102</c:v>
                </c:pt>
                <c:pt idx="49">
                  <c:v>3.03010717638083</c:v>
                </c:pt>
                <c:pt idx="50">
                  <c:v>3.2827665350954298</c:v>
                </c:pt>
                <c:pt idx="51">
                  <c:v>3.5343281034383298</c:v>
                </c:pt>
                <c:pt idx="52">
                  <c:v>3.7845681384390502</c:v>
                </c:pt>
                <c:pt idx="53">
                  <c:v>4.0332676716343903</c:v>
                </c:pt>
                <c:pt idx="54">
                  <c:v>4.2802132482007398</c:v>
                </c:pt>
                <c:pt idx="55">
                  <c:v>4.5251976297139</c:v>
                </c:pt>
                <c:pt idx="56">
                  <c:v>4.76802045114378</c:v>
                </c:pt>
                <c:pt idx="57">
                  <c:v>4.9998508538187698</c:v>
                </c:pt>
                <c:pt idx="58">
                  <c:v>4.9998516508947501</c:v>
                </c:pt>
                <c:pt idx="59">
                  <c:v>4.99985183590017</c:v>
                </c:pt>
                <c:pt idx="60">
                  <c:v>4.99985195816003</c:v>
                </c:pt>
                <c:pt idx="61">
                  <c:v>4.9998520499927999</c:v>
                </c:pt>
                <c:pt idx="62">
                  <c:v>4.9998521313179403</c:v>
                </c:pt>
                <c:pt idx="63">
                  <c:v>4.9998521986584503</c:v>
                </c:pt>
                <c:pt idx="64">
                  <c:v>4.9998522634428504</c:v>
                </c:pt>
                <c:pt idx="65">
                  <c:v>4.9998523187092401</c:v>
                </c:pt>
                <c:pt idx="66">
                  <c:v>4.9998523741844396</c:v>
                </c:pt>
                <c:pt idx="67">
                  <c:v>4.9998524219850404</c:v>
                </c:pt>
                <c:pt idx="68">
                  <c:v>4.9998524712572898</c:v>
                </c:pt>
                <c:pt idx="69">
                  <c:v>4.9998525137464496</c:v>
                </c:pt>
                <c:pt idx="70">
                  <c:v>4.9998525583881497</c:v>
                </c:pt>
                <c:pt idx="71">
                  <c:v>4.9998525967886103</c:v>
                </c:pt>
                <c:pt idx="72">
                  <c:v>4.9998526377503696</c:v>
                </c:pt>
                <c:pt idx="73">
                  <c:v>4.9998526727783101</c:v>
                </c:pt>
                <c:pt idx="74">
                  <c:v>4.99985271063432</c:v>
                </c:pt>
                <c:pt idx="75">
                  <c:v>4.99985274279706</c:v>
                </c:pt>
                <c:pt idx="76">
                  <c:v>4.99985277797352</c:v>
                </c:pt>
                <c:pt idx="77">
                  <c:v>4.9998528075957003</c:v>
                </c:pt>
                <c:pt idx="78">
                  <c:v>4.9998528403686002</c:v>
                </c:pt>
                <c:pt idx="79">
                  <c:v>4.9998528677264202</c:v>
                </c:pt>
                <c:pt idx="80">
                  <c:v>4.9998528983409898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62-48FA-BCD6-3D3D39AB7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173664"/>
        <c:axId val="214174144"/>
      </c:scatterChart>
      <c:valAx>
        <c:axId val="214173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14174144"/>
        <c:crosses val="autoZero"/>
        <c:crossBetween val="midCat"/>
      </c:valAx>
      <c:valAx>
        <c:axId val="21417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14173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V2</a:t>
            </a:r>
            <a:r>
              <a:rPr lang="pt-PT" baseline="0"/>
              <a:t> = f(V1)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287491516831424E-2"/>
                  <c:y val="-0.1019426048565121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PT"/>
                </a:p>
              </c:txPr>
            </c:trendlineLbl>
          </c:trendline>
          <c:xVal>
            <c:numRef>
              <c:f>'precision limiter'!$D$2:$D$82</c:f>
              <c:numCache>
                <c:formatCode>0.000</c:formatCode>
                <c:ptCount val="81"/>
                <c:pt idx="0">
                  <c:v>-5.7027271556814201</c:v>
                </c:pt>
                <c:pt idx="1">
                  <c:v>-5.7009834605498702</c:v>
                </c:pt>
                <c:pt idx="2">
                  <c:v>-5.6984631792582299</c:v>
                </c:pt>
                <c:pt idx="3">
                  <c:v>-5.69505386452051</c:v>
                </c:pt>
                <c:pt idx="4">
                  <c:v>-5.6905494809732904</c:v>
                </c:pt>
                <c:pt idx="5">
                  <c:v>-5.6845880193416596</c:v>
                </c:pt>
                <c:pt idx="6">
                  <c:v>-5.6765012674350297</c:v>
                </c:pt>
                <c:pt idx="7">
                  <c:v>-5.6649025386222904</c:v>
                </c:pt>
                <c:pt idx="8">
                  <c:v>-5.6462395535763799</c:v>
                </c:pt>
                <c:pt idx="9">
                  <c:v>-5.6073555877744496</c:v>
                </c:pt>
                <c:pt idx="10">
                  <c:v>-5.5009912856793299</c:v>
                </c:pt>
                <c:pt idx="11">
                  <c:v>-5.3500383553570803</c:v>
                </c:pt>
                <c:pt idx="12">
                  <c:v>-5.1934310551140603</c:v>
                </c:pt>
                <c:pt idx="13">
                  <c:v>-5.0326212056875397</c:v>
                </c:pt>
                <c:pt idx="14">
                  <c:v>-4.8676053575832503</c:v>
                </c:pt>
                <c:pt idx="15">
                  <c:v>-4.6983752815295698</c:v>
                </c:pt>
                <c:pt idx="16">
                  <c:v>-4.5249296996990802</c:v>
                </c:pt>
                <c:pt idx="17">
                  <c:v>-4.34727539085402</c:v>
                </c:pt>
                <c:pt idx="18">
                  <c:v>-4.1654276238941099</c:v>
                </c:pt>
                <c:pt idx="19">
                  <c:v>-3.9794102726309002</c:v>
                </c:pt>
                <c:pt idx="20">
                  <c:v>-3.7892559386606801</c:v>
                </c:pt>
                <c:pt idx="21">
                  <c:v>-3.5950068891501901</c:v>
                </c:pt>
                <c:pt idx="22">
                  <c:v>-3.3967145701942001</c:v>
                </c:pt>
                <c:pt idx="23">
                  <c:v>-3.1944406071804301</c:v>
                </c:pt>
                <c:pt idx="24">
                  <c:v>-2.9882562464573499</c:v>
                </c:pt>
                <c:pt idx="25">
                  <c:v>-2.77824326000282</c:v>
                </c:pt>
                <c:pt idx="26">
                  <c:v>-2.56449331271115</c:v>
                </c:pt>
                <c:pt idx="27">
                  <c:v>-2.3471087630499499</c:v>
                </c:pt>
                <c:pt idx="28">
                  <c:v>-2.1262019325116901</c:v>
                </c:pt>
                <c:pt idx="29">
                  <c:v>-1.9018958056389801</c:v>
                </c:pt>
                <c:pt idx="30">
                  <c:v>-1.6743231732824599</c:v>
                </c:pt>
                <c:pt idx="31">
                  <c:v>-1.4436272215689001</c:v>
                </c:pt>
                <c:pt idx="32">
                  <c:v>-1.20996057374238</c:v>
                </c:pt>
                <c:pt idx="33">
                  <c:v>-0.97348573541863404</c:v>
                </c:pt>
                <c:pt idx="34">
                  <c:v>-0.734374020292758</c:v>
                </c:pt>
                <c:pt idx="35">
                  <c:v>-0.492805876424106</c:v>
                </c:pt>
                <c:pt idx="36">
                  <c:v>-0.248969697793963</c:v>
                </c:pt>
                <c:pt idx="37">
                  <c:v>-3.0620267835995202E-3</c:v>
                </c:pt>
                <c:pt idx="38">
                  <c:v>0.24471373930517601</c:v>
                </c:pt>
                <c:pt idx="39">
                  <c:v>0.494147302715996</c:v>
                </c:pt>
                <c:pt idx="40">
                  <c:v>0.74502274574250305</c:v>
                </c:pt>
                <c:pt idx="41">
                  <c:v>0.99711869380468299</c:v>
                </c:pt>
                <c:pt idx="42">
                  <c:v>1.25020962477957</c:v>
                </c:pt>
                <c:pt idx="43">
                  <c:v>1.50406611151868</c:v>
                </c:pt>
                <c:pt idx="44">
                  <c:v>1.75845619515911</c:v>
                </c:pt>
                <c:pt idx="45">
                  <c:v>2.0131456771506402</c:v>
                </c:pt>
                <c:pt idx="46">
                  <c:v>2.26789952945964</c:v>
                </c:pt>
                <c:pt idx="47">
                  <c:v>2.5224822108056002</c:v>
                </c:pt>
                <c:pt idx="48">
                  <c:v>2.77665908759128</c:v>
                </c:pt>
                <c:pt idx="49">
                  <c:v>3.0301967468412498</c:v>
                </c:pt>
                <c:pt idx="50">
                  <c:v>3.2828644002433802</c:v>
                </c:pt>
                <c:pt idx="51">
                  <c:v>3.5344341673235999</c:v>
                </c:pt>
                <c:pt idx="52">
                  <c:v>3.7846824367653</c:v>
                </c:pt>
                <c:pt idx="53">
                  <c:v>4.0333900911023202</c:v>
                </c:pt>
                <c:pt idx="54">
                  <c:v>4.2803438147252804</c:v>
                </c:pt>
                <c:pt idx="55">
                  <c:v>4.52533621512538</c:v>
                </c:pt>
                <c:pt idx="56">
                  <c:v>4.7681671990351298</c:v>
                </c:pt>
                <c:pt idx="57">
                  <c:v>5.0086432440964401</c:v>
                </c:pt>
                <c:pt idx="58">
                  <c:v>5.2465804783768997</c:v>
                </c:pt>
                <c:pt idx="59">
                  <c:v>5.4818015052992299</c:v>
                </c:pt>
                <c:pt idx="60">
                  <c:v>5.7141397949876103</c:v>
                </c:pt>
                <c:pt idx="61">
                  <c:v>5.9434365745923801</c:v>
                </c:pt>
                <c:pt idx="62">
                  <c:v>6.1695441879163599</c:v>
                </c:pt>
                <c:pt idx="63">
                  <c:v>6.3923234220781104</c:v>
                </c:pt>
                <c:pt idx="64">
                  <c:v>6.6116466384103099</c:v>
                </c:pt>
                <c:pt idx="65">
                  <c:v>6.8273949663679998</c:v>
                </c:pt>
                <c:pt idx="66">
                  <c:v>7.0394613206098304</c:v>
                </c:pt>
                <c:pt idx="67">
                  <c:v>7.2477474795504504</c:v>
                </c:pt>
                <c:pt idx="68">
                  <c:v>7.45216699605567</c:v>
                </c:pt>
                <c:pt idx="69">
                  <c:v>7.6526421775214599</c:v>
                </c:pt>
                <c:pt idx="70">
                  <c:v>7.8491068799429202</c:v>
                </c:pt>
                <c:pt idx="71">
                  <c:v>8.0415034079289907</c:v>
                </c:pt>
                <c:pt idx="72">
                  <c:v>8.2297852248215797</c:v>
                </c:pt>
                <c:pt idx="73">
                  <c:v>8.4139137769891494</c:v>
                </c:pt>
                <c:pt idx="74">
                  <c:v>8.59386112223849</c:v>
                </c:pt>
                <c:pt idx="75">
                  <c:v>8.7696066979046492</c:v>
                </c:pt>
                <c:pt idx="76">
                  <c:v>8.9411399016625399</c:v>
                </c:pt>
                <c:pt idx="77">
                  <c:v>9.1084568086203301</c:v>
                </c:pt>
                <c:pt idx="78">
                  <c:v>9.2715627052144391</c:v>
                </c:pt>
                <c:pt idx="79">
                  <c:v>9.4304687793821902</c:v>
                </c:pt>
                <c:pt idx="80">
                  <c:v>9.5851946367813792</c:v>
                </c:pt>
              </c:numCache>
            </c:numRef>
          </c:xVal>
          <c:yVal>
            <c:numRef>
              <c:f>'precision limiter'!$E$2:$E$82</c:f>
              <c:numCache>
                <c:formatCode>0.000</c:formatCode>
                <c:ptCount val="81"/>
                <c:pt idx="0">
                  <c:v>7.62939453125E-6</c:v>
                </c:pt>
                <c:pt idx="1">
                  <c:v>7.6363933337319395E-6</c:v>
                </c:pt>
                <c:pt idx="2">
                  <c:v>7.6368245896869704E-6</c:v>
                </c:pt>
                <c:pt idx="3">
                  <c:v>7.6374080186686495E-6</c:v>
                </c:pt>
                <c:pt idx="4">
                  <c:v>7.6381790541742893E-6</c:v>
                </c:pt>
                <c:pt idx="5">
                  <c:v>7.6391996513872696E-6</c:v>
                </c:pt>
                <c:pt idx="6">
                  <c:v>7.6405845107644693E-6</c:v>
                </c:pt>
                <c:pt idx="7">
                  <c:v>7.6425715972338705E-6</c:v>
                </c:pt>
                <c:pt idx="8">
                  <c:v>7.6457709332411097E-6</c:v>
                </c:pt>
                <c:pt idx="9">
                  <c:v>7.6524445583266395E-6</c:v>
                </c:pt>
                <c:pt idx="10">
                  <c:v>7.6707558565855592E-6</c:v>
                </c:pt>
                <c:pt idx="11">
                  <c:v>7.6968888339578905E-6</c:v>
                </c:pt>
                <c:pt idx="12">
                  <c:v>7.7241906154887092E-6</c:v>
                </c:pt>
                <c:pt idx="13">
                  <c:v>7.7524385955778603E-6</c:v>
                </c:pt>
                <c:pt idx="14">
                  <c:v>7.7816649765504702E-6</c:v>
                </c:pt>
                <c:pt idx="15">
                  <c:v>7.8119071993375995E-6</c:v>
                </c:pt>
                <c:pt idx="16">
                  <c:v>7.8432066606332907E-6</c:v>
                </c:pt>
                <c:pt idx="17">
                  <c:v>7.8756095129607702E-6</c:v>
                </c:pt>
                <c:pt idx="18">
                  <c:v>7.9091677786493603E-6</c:v>
                </c:pt>
                <c:pt idx="19">
                  <c:v>7.9439408303342294E-6</c:v>
                </c:pt>
                <c:pt idx="20">
                  <c:v>7.9799973721486501E-6</c:v>
                </c:pt>
                <c:pt idx="21">
                  <c:v>8.0174177761557293E-6</c:v>
                </c:pt>
                <c:pt idx="22">
                  <c:v>8.0562975625138598E-6</c:v>
                </c:pt>
                <c:pt idx="23">
                  <c:v>8.0967517120790903E-6</c:v>
                </c:pt>
                <c:pt idx="24">
                  <c:v>8.1389209973993497E-6</c:v>
                </c:pt>
                <c:pt idx="25">
                  <c:v>8.1829804182676202E-6</c:v>
                </c:pt>
                <c:pt idx="26">
                  <c:v>8.2291518269395894E-6</c:v>
                </c:pt>
                <c:pt idx="27">
                  <c:v>8.2777220954260006E-6</c:v>
                </c:pt>
                <c:pt idx="28">
                  <c:v>8.3290713664267395E-6</c:v>
                </c:pt>
                <c:pt idx="29">
                  <c:v>8.3837175270686796E-6</c:v>
                </c:pt>
                <c:pt idx="30">
                  <c:v>8.4423909921971302E-6</c:v>
                </c:pt>
                <c:pt idx="31">
                  <c:v>8.5061668465827292E-6</c:v>
                </c:pt>
                <c:pt idx="32">
                  <c:v>8.5767189127739708E-6</c:v>
                </c:pt>
                <c:pt idx="33">
                  <c:v>8.6568594035650306E-6</c:v>
                </c:pt>
                <c:pt idx="34">
                  <c:v>8.7518675288917393E-6</c:v>
                </c:pt>
                <c:pt idx="35">
                  <c:v>8.8735878910170002E-6</c:v>
                </c:pt>
                <c:pt idx="36">
                  <c:v>9.0596114337041003E-6</c:v>
                </c:pt>
                <c:pt idx="37">
                  <c:v>1.00835311801008E-5</c:v>
                </c:pt>
                <c:pt idx="38">
                  <c:v>0.24471456553812501</c:v>
                </c:pt>
                <c:pt idx="39">
                  <c:v>0.49414011150279102</c:v>
                </c:pt>
                <c:pt idx="40">
                  <c:v>0.74500741273814797</c:v>
                </c:pt>
                <c:pt idx="41">
                  <c:v>0.99709523949710599</c:v>
                </c:pt>
                <c:pt idx="42">
                  <c:v>1.25017793874037</c:v>
                </c:pt>
                <c:pt idx="43">
                  <c:v>1.5040262284819099</c:v>
                </c:pt>
                <c:pt idx="44">
                  <c:v>1.7584080193356399</c:v>
                </c:pt>
                <c:pt idx="45">
                  <c:v>2.0130892581433</c:v>
                </c:pt>
                <c:pt idx="46">
                  <c:v>2.2678347865803601</c:v>
                </c:pt>
                <c:pt idx="47">
                  <c:v>2.5224092090030998</c:v>
                </c:pt>
                <c:pt idx="48">
                  <c:v>2.7765777611106102</c:v>
                </c:pt>
                <c:pt idx="49">
                  <c:v>3.03010717638083</c:v>
                </c:pt>
                <c:pt idx="50">
                  <c:v>3.2827665350954298</c:v>
                </c:pt>
                <c:pt idx="51">
                  <c:v>3.5343281034383298</c:v>
                </c:pt>
                <c:pt idx="52">
                  <c:v>3.7845681384390502</c:v>
                </c:pt>
                <c:pt idx="53">
                  <c:v>4.0332676716343903</c:v>
                </c:pt>
                <c:pt idx="54">
                  <c:v>4.2802132482007398</c:v>
                </c:pt>
                <c:pt idx="55">
                  <c:v>4.5251976297139</c:v>
                </c:pt>
                <c:pt idx="56">
                  <c:v>4.76802045114378</c:v>
                </c:pt>
                <c:pt idx="57">
                  <c:v>4.9998508538187698</c:v>
                </c:pt>
                <c:pt idx="58">
                  <c:v>4.9998516508947501</c:v>
                </c:pt>
                <c:pt idx="59">
                  <c:v>4.99985183590017</c:v>
                </c:pt>
                <c:pt idx="60">
                  <c:v>4.99985195816003</c:v>
                </c:pt>
                <c:pt idx="61">
                  <c:v>4.9998520499927999</c:v>
                </c:pt>
                <c:pt idx="62">
                  <c:v>4.9998521313179403</c:v>
                </c:pt>
                <c:pt idx="63">
                  <c:v>4.9998521986584503</c:v>
                </c:pt>
                <c:pt idx="64">
                  <c:v>4.9998522634428504</c:v>
                </c:pt>
                <c:pt idx="65">
                  <c:v>4.9998523187092401</c:v>
                </c:pt>
                <c:pt idx="66">
                  <c:v>4.9998523741844396</c:v>
                </c:pt>
                <c:pt idx="67">
                  <c:v>4.9998524219850404</c:v>
                </c:pt>
                <c:pt idx="68">
                  <c:v>4.9998524712572898</c:v>
                </c:pt>
                <c:pt idx="69">
                  <c:v>4.9998525137464496</c:v>
                </c:pt>
                <c:pt idx="70">
                  <c:v>4.9998525583881497</c:v>
                </c:pt>
                <c:pt idx="71">
                  <c:v>4.9998525967886103</c:v>
                </c:pt>
                <c:pt idx="72">
                  <c:v>4.9998526377503696</c:v>
                </c:pt>
                <c:pt idx="73">
                  <c:v>4.9998526727783101</c:v>
                </c:pt>
                <c:pt idx="74">
                  <c:v>4.99985271063432</c:v>
                </c:pt>
                <c:pt idx="75">
                  <c:v>4.99985274279706</c:v>
                </c:pt>
                <c:pt idx="76">
                  <c:v>4.99985277797352</c:v>
                </c:pt>
                <c:pt idx="77">
                  <c:v>4.9998528075957003</c:v>
                </c:pt>
                <c:pt idx="78">
                  <c:v>4.9998528403686002</c:v>
                </c:pt>
                <c:pt idx="79">
                  <c:v>4.9998528677264202</c:v>
                </c:pt>
                <c:pt idx="80">
                  <c:v>4.9998528983409898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76-4DCE-84E0-F16F55091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9512431"/>
        <c:axId val="1849510031"/>
      </c:scatterChart>
      <c:valAx>
        <c:axId val="1849512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49510031"/>
        <c:crosses val="autoZero"/>
        <c:crossBetween val="midCat"/>
      </c:valAx>
      <c:valAx>
        <c:axId val="184951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495124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V2= f(V1)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'precision limiter'!$C$87</c:f>
              <c:strCache>
                <c:ptCount val="1"/>
                <c:pt idx="0">
                  <c:v>V2 (V)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PT"/>
                </a:p>
              </c:txPr>
            </c:trendlineLbl>
          </c:trendline>
          <c:xVal>
            <c:numRef>
              <c:f>'precision limiter'!$B$88:$B$97</c:f>
              <c:numCache>
                <c:formatCode>0.000</c:formatCode>
                <c:ptCount val="10"/>
                <c:pt idx="0">
                  <c:v>-2.0550000000000002</c:v>
                </c:pt>
                <c:pt idx="1">
                  <c:v>-1.026</c:v>
                </c:pt>
                <c:pt idx="2">
                  <c:v>0</c:v>
                </c:pt>
                <c:pt idx="3">
                  <c:v>1.03</c:v>
                </c:pt>
                <c:pt idx="4">
                  <c:v>2.06</c:v>
                </c:pt>
                <c:pt idx="5">
                  <c:v>3.08</c:v>
                </c:pt>
                <c:pt idx="6">
                  <c:v>4.0599999999999996</c:v>
                </c:pt>
                <c:pt idx="7">
                  <c:v>5.13</c:v>
                </c:pt>
                <c:pt idx="8">
                  <c:v>6.14</c:v>
                </c:pt>
                <c:pt idx="9">
                  <c:v>7.2</c:v>
                </c:pt>
              </c:numCache>
            </c:numRef>
          </c:xVal>
          <c:yVal>
            <c:numRef>
              <c:f>'precision limiter'!$C$88:$C$97</c:f>
              <c:numCache>
                <c:formatCode>0.00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1.02</c:v>
                </c:pt>
                <c:pt idx="4">
                  <c:v>2.0499999999999998</c:v>
                </c:pt>
                <c:pt idx="5">
                  <c:v>3.07</c:v>
                </c:pt>
                <c:pt idx="6">
                  <c:v>4.08</c:v>
                </c:pt>
                <c:pt idx="7">
                  <c:v>5.04</c:v>
                </c:pt>
                <c:pt idx="8">
                  <c:v>5.05</c:v>
                </c:pt>
                <c:pt idx="9">
                  <c:v>5.05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C3-4360-ABEC-35578FE2E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083695"/>
        <c:axId val="626016303"/>
      </c:scatterChart>
      <c:valAx>
        <c:axId val="406083695"/>
        <c:scaling>
          <c:orientation val="minMax"/>
          <c:min val="-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V1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26016303"/>
        <c:crosses val="autoZero"/>
        <c:crossBetween val="midCat"/>
      </c:valAx>
      <c:valAx>
        <c:axId val="626016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V2</a:t>
                </a:r>
                <a:r>
                  <a:rPr lang="pt-PT" baseline="0"/>
                  <a:t> (V)</a:t>
                </a: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406083695"/>
        <c:crossesAt val="-3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V2=f(T)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PT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'Circuito Completo'!$A$3:$A$9</c:f>
              <c:numCache>
                <c:formatCode>0.00</c:formatCode>
                <c:ptCount val="7"/>
                <c:pt idx="0">
                  <c:v>17.095344527603828</c:v>
                </c:pt>
                <c:pt idx="1">
                  <c:v>20.21428612951275</c:v>
                </c:pt>
                <c:pt idx="2">
                  <c:v>22.679087008481744</c:v>
                </c:pt>
                <c:pt idx="3">
                  <c:v>25.624552416457458</c:v>
                </c:pt>
                <c:pt idx="4">
                  <c:v>28.889000440419011</c:v>
                </c:pt>
                <c:pt idx="5">
                  <c:v>32.591926998542384</c:v>
                </c:pt>
                <c:pt idx="6">
                  <c:v>34.238547648794572</c:v>
                </c:pt>
              </c:numCache>
            </c:numRef>
          </c:xVal>
          <c:yVal>
            <c:numRef>
              <c:f>'Circuito Completo'!$C$3:$C$9</c:f>
              <c:numCache>
                <c:formatCode>0.00</c:formatCode>
                <c:ptCount val="7"/>
                <c:pt idx="0">
                  <c:v>3.0000000000000001E-3</c:v>
                </c:pt>
                <c:pt idx="1">
                  <c:v>0.6</c:v>
                </c:pt>
                <c:pt idx="2">
                  <c:v>1.27</c:v>
                </c:pt>
                <c:pt idx="3">
                  <c:v>2.04</c:v>
                </c:pt>
                <c:pt idx="4">
                  <c:v>2.88</c:v>
                </c:pt>
                <c:pt idx="5">
                  <c:v>3.88</c:v>
                </c:pt>
                <c:pt idx="6">
                  <c:v>4.93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A0-4F98-8647-2327FEFE0B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1376143"/>
        <c:axId val="331377103"/>
      </c:scatterChart>
      <c:valAx>
        <c:axId val="331376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Temperatura (ºC)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31377103"/>
        <c:crosses val="autoZero"/>
        <c:crossBetween val="midCat"/>
      </c:valAx>
      <c:valAx>
        <c:axId val="33137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V2</a:t>
                </a:r>
                <a:r>
                  <a:rPr lang="pt-PT" baseline="0"/>
                  <a:t> (V)</a:t>
                </a:r>
                <a:endParaRPr lang="pt-P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31376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1360</xdr:colOff>
      <xdr:row>1</xdr:row>
      <xdr:rowOff>18554</xdr:rowOff>
    </xdr:from>
    <xdr:to>
      <xdr:col>21</xdr:col>
      <xdr:colOff>525236</xdr:colOff>
      <xdr:row>30</xdr:row>
      <xdr:rowOff>132854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81D9844-24BA-0C8E-7B6F-9F86573090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53438</xdr:colOff>
      <xdr:row>33</xdr:row>
      <xdr:rowOff>54428</xdr:rowOff>
    </xdr:from>
    <xdr:to>
      <xdr:col>27</xdr:col>
      <xdr:colOff>43542</xdr:colOff>
      <xdr:row>69</xdr:row>
      <xdr:rowOff>54427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16547D5-D8E1-44B5-90B7-B545374DF9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92986</xdr:colOff>
      <xdr:row>3</xdr:row>
      <xdr:rowOff>89643</xdr:rowOff>
    </xdr:from>
    <xdr:to>
      <xdr:col>10</xdr:col>
      <xdr:colOff>472768</xdr:colOff>
      <xdr:row>5</xdr:row>
      <xdr:rowOff>121478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EDFF1E6-6DF3-5A55-8A68-EC8496E151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55769" y="719121"/>
          <a:ext cx="3979956" cy="451487"/>
        </a:xfrm>
        <a:prstGeom prst="rect">
          <a:avLst/>
        </a:prstGeom>
        <a:ln w="12700" cap="sq">
          <a:solidFill>
            <a:srgbClr val="000000"/>
          </a:solidFill>
          <a:miter lim="800000"/>
        </a:ln>
        <a:effectLst>
          <a:outerShdw blurRad="57150" dist="50800" dir="2700000" algn="tl" rotWithShape="0">
            <a:srgbClr val="000000">
              <a:alpha val="40000"/>
            </a:srgbClr>
          </a:outerShdw>
        </a:effectLst>
      </xdr:spPr>
    </xdr:pic>
    <xdr:clientData/>
  </xdr:twoCellAnchor>
  <xdr:twoCellAnchor>
    <xdr:from>
      <xdr:col>4</xdr:col>
      <xdr:colOff>611311</xdr:colOff>
      <xdr:row>6</xdr:row>
      <xdr:rowOff>172996</xdr:rowOff>
    </xdr:from>
    <xdr:to>
      <xdr:col>17</xdr:col>
      <xdr:colOff>438151</xdr:colOff>
      <xdr:row>28</xdr:row>
      <xdr:rowOff>44313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A0F447B-18E4-B95A-8EB1-E11D117A5B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1</xdr:row>
      <xdr:rowOff>171450</xdr:rowOff>
    </xdr:from>
    <xdr:to>
      <xdr:col>15</xdr:col>
      <xdr:colOff>388620</xdr:colOff>
      <xdr:row>23</xdr:row>
      <xdr:rowOff>137160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CF280F8-2496-C431-F9D9-8F5DAE599A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595312</xdr:colOff>
      <xdr:row>26</xdr:row>
      <xdr:rowOff>187642</xdr:rowOff>
    </xdr:from>
    <xdr:to>
      <xdr:col>11</xdr:col>
      <xdr:colOff>303847</xdr:colOff>
      <xdr:row>39</xdr:row>
      <xdr:rowOff>175261</xdr:rowOff>
    </xdr:to>
    <xdr:graphicFrame macro="">
      <xdr:nvGraphicFramePr>
        <xdr:cNvPr id="60" name="Gráfico 1">
          <a:extLst>
            <a:ext uri="{FF2B5EF4-FFF2-40B4-BE49-F238E27FC236}">
              <a16:creationId xmlns:a16="http://schemas.microsoft.com/office/drawing/2014/main" id="{0DEE38A1-43D9-761A-A550-55837D8182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640555</xdr:colOff>
      <xdr:row>45</xdr:row>
      <xdr:rowOff>57150</xdr:rowOff>
    </xdr:from>
    <xdr:to>
      <xdr:col>11</xdr:col>
      <xdr:colOff>238124</xdr:colOff>
      <xdr:row>61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477FD09-DA3B-A7B7-6904-D5319BEFFD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219075</xdr:colOff>
      <xdr:row>27</xdr:row>
      <xdr:rowOff>14287</xdr:rowOff>
    </xdr:from>
    <xdr:to>
      <xdr:col>28</xdr:col>
      <xdr:colOff>523875</xdr:colOff>
      <xdr:row>39</xdr:row>
      <xdr:rowOff>176212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CF41858-9F2B-FB94-F070-CC0782003D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600075</xdr:colOff>
      <xdr:row>2</xdr:row>
      <xdr:rowOff>35822</xdr:rowOff>
    </xdr:from>
    <xdr:to>
      <xdr:col>13</xdr:col>
      <xdr:colOff>367748</xdr:colOff>
      <xdr:row>16</xdr:row>
      <xdr:rowOff>112022</xdr:rowOff>
    </xdr:to>
    <xdr:graphicFrame macro="">
      <xdr:nvGraphicFramePr>
        <xdr:cNvPr id="13" name="Gráfico 1">
          <a:extLst>
            <a:ext uri="{FF2B5EF4-FFF2-40B4-BE49-F238E27FC236}">
              <a16:creationId xmlns:a16="http://schemas.microsoft.com/office/drawing/2014/main" id="{DA2BEE81-B53B-6FE1-72F4-5F6E7E24DD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249555</xdr:colOff>
      <xdr:row>25</xdr:row>
      <xdr:rowOff>21618</xdr:rowOff>
    </xdr:from>
    <xdr:to>
      <xdr:col>24</xdr:col>
      <xdr:colOff>365345</xdr:colOff>
      <xdr:row>41</xdr:row>
      <xdr:rowOff>150826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557A521-7BE9-0FE2-DC65-CCB06C5096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22776</xdr:colOff>
      <xdr:row>25</xdr:row>
      <xdr:rowOff>103740</xdr:rowOff>
    </xdr:from>
    <xdr:to>
      <xdr:col>12</xdr:col>
      <xdr:colOff>443118</xdr:colOff>
      <xdr:row>38</xdr:row>
      <xdr:rowOff>113678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7A68C823-C8AB-9CE4-6727-623D27096A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4099</xdr:colOff>
      <xdr:row>1</xdr:row>
      <xdr:rowOff>1665</xdr:rowOff>
    </xdr:from>
    <xdr:to>
      <xdr:col>14</xdr:col>
      <xdr:colOff>308899</xdr:colOff>
      <xdr:row>15</xdr:row>
      <xdr:rowOff>157651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7F3C927-310B-4B62-7B8C-9922DDAD0C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179070</xdr:rowOff>
    </xdr:from>
    <xdr:to>
      <xdr:col>15</xdr:col>
      <xdr:colOff>15240</xdr:colOff>
      <xdr:row>32</xdr:row>
      <xdr:rowOff>7620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950B1A0-F869-7C7A-5AF9-052AD109F6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114300</xdr:colOff>
      <xdr:row>83</xdr:row>
      <xdr:rowOff>80962</xdr:rowOff>
    </xdr:from>
    <xdr:to>
      <xdr:col>13</xdr:col>
      <xdr:colOff>419100</xdr:colOff>
      <xdr:row>97</xdr:row>
      <xdr:rowOff>14287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AF95B7A-FFA5-4C32-4A92-BCAD4B9C77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228600</xdr:colOff>
      <xdr:row>0</xdr:row>
      <xdr:rowOff>138112</xdr:rowOff>
    </xdr:from>
    <xdr:to>
      <xdr:col>12</xdr:col>
      <xdr:colOff>533400</xdr:colOff>
      <xdr:row>14</xdr:row>
      <xdr:rowOff>109537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0BA0A5F-265C-F906-2A4D-4B2FBEEA93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83820</xdr:colOff>
      <xdr:row>6</xdr:row>
      <xdr:rowOff>19050</xdr:rowOff>
    </xdr:from>
    <xdr:ext cx="2205026" cy="33772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8F9E413C-6B30-A299-DF23-B016C2EEA5B8}"/>
                </a:ext>
              </a:extLst>
            </xdr:cNvPr>
            <xdr:cNvSpPr txBox="1"/>
          </xdr:nvSpPr>
          <xdr:spPr>
            <a:xfrm>
              <a:off x="1752600" y="750570"/>
              <a:ext cx="2205026" cy="33772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PT" sz="1100" b="0" i="1">
                        <a:latin typeface="Cambria Math" panose="02040503050406030204" pitchFamily="18" charset="0"/>
                      </a:rPr>
                      <m:t>𝑅𝑒𝑠𝑜𝑙𝑢</m:t>
                    </m:r>
                    <m:r>
                      <a:rPr lang="pt-PT" sz="1100" b="0" i="1">
                        <a:latin typeface="Cambria Math" panose="02040503050406030204" pitchFamily="18" charset="0"/>
                      </a:rPr>
                      <m:t>çã</m:t>
                    </m:r>
                    <m:r>
                      <a:rPr lang="pt-PT" sz="1100" b="0" i="1">
                        <a:latin typeface="Cambria Math" panose="02040503050406030204" pitchFamily="18" charset="0"/>
                      </a:rPr>
                      <m:t>𝑜</m:t>
                    </m:r>
                    <m:r>
                      <a:rPr lang="pt-PT" sz="1100" b="0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pt-PT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t-PT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𝑉𝑅𝐸𝐹</m:t>
                        </m:r>
                        <m:d>
                          <m:dPr>
                            <m:ctrlPr>
                              <a:rPr lang="pt-PT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dPr>
                          <m:e>
                            <m:r>
                              <a:rPr lang="pt-PT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</m:e>
                        </m:d>
                        <m:r>
                          <a:rPr lang="pt-PT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r>
                          <a:rPr lang="pt-PT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𝑉𝑅𝐸𝐹</m:t>
                        </m:r>
                        <m:r>
                          <a:rPr lang="pt-PT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(−)</m:t>
                        </m:r>
                      </m:num>
                      <m:den>
                        <m:sSup>
                          <m:sSupPr>
                            <m:ctrlPr>
                              <a:rPr lang="pt-PT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pt-PT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e>
                          <m:sup>
                            <m:r>
                              <a:rPr lang="pt-PT" sz="1100" b="0" i="1">
                                <a:latin typeface="Cambria Math" panose="02040503050406030204" pitchFamily="18" charset="0"/>
                              </a:rPr>
                              <m:t>𝑁𝐵𝐼𝑇𝑆</m:t>
                            </m:r>
                            <m:r>
                              <a:rPr lang="pt-PT" sz="1100" b="0" i="1">
                                <a:latin typeface="Cambria Math" panose="02040503050406030204" pitchFamily="18" charset="0"/>
                              </a:rPr>
                              <m:t>_</m:t>
                            </m:r>
                            <m:r>
                              <a:rPr lang="pt-PT" sz="1100" b="0" i="1">
                                <a:latin typeface="Cambria Math" panose="02040503050406030204" pitchFamily="18" charset="0"/>
                              </a:rPr>
                              <m:t>𝐴𝐷</m:t>
                            </m:r>
                          </m:sup>
                        </m:sSup>
                      </m:den>
                    </m:f>
                  </m:oMath>
                </m:oMathPara>
              </a14:m>
              <a:endParaRPr lang="pt-PT" sz="1100"/>
            </a:p>
          </xdr:txBody>
        </xdr:sp>
      </mc:Choice>
      <mc:Fallback xmlns="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8F9E413C-6B30-A299-DF23-B016C2EEA5B8}"/>
                </a:ext>
              </a:extLst>
            </xdr:cNvPr>
            <xdr:cNvSpPr txBox="1"/>
          </xdr:nvSpPr>
          <xdr:spPr>
            <a:xfrm>
              <a:off x="1752600" y="750570"/>
              <a:ext cx="2205026" cy="33772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PT" sz="1100" b="0" i="0">
                  <a:latin typeface="Cambria Math" panose="02040503050406030204" pitchFamily="18" charset="0"/>
                </a:rPr>
                <a:t>𝑅𝑒𝑠𝑜𝑙𝑢çã𝑜= </a:t>
              </a:r>
              <a:r>
                <a:rPr lang="pt-PT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pt-PT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pt-PT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𝑉𝑅𝐸𝐹(+)−𝑉𝑅𝐸𝐹(−)</a:t>
              </a:r>
              <a:r>
                <a:rPr lang="pt-PT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</a:t>
              </a:r>
              <a:r>
                <a:rPr lang="pt-PT" sz="1100" b="0" i="0">
                  <a:latin typeface="Cambria Math" panose="02040503050406030204" pitchFamily="18" charset="0"/>
                </a:rPr>
                <a:t>2^(𝑁𝐵𝐼𝑇𝑆_𝐴𝐷) </a:t>
              </a:r>
              <a:endParaRPr lang="pt-PT" sz="1100"/>
            </a:p>
          </xdr:txBody>
        </xdr:sp>
      </mc:Fallback>
    </mc:AlternateContent>
    <xdr:clientData/>
  </xdr:oneCellAnchor>
  <xdr:oneCellAnchor>
    <xdr:from>
      <xdr:col>4</xdr:col>
      <xdr:colOff>426720</xdr:colOff>
      <xdr:row>6</xdr:row>
      <xdr:rowOff>0</xdr:rowOff>
    </xdr:from>
    <xdr:ext cx="1547347" cy="32034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980FABA2-BEC3-479C-894C-D1857521EAFC}"/>
                </a:ext>
              </a:extLst>
            </xdr:cNvPr>
            <xdr:cNvSpPr txBox="1"/>
          </xdr:nvSpPr>
          <xdr:spPr>
            <a:xfrm>
              <a:off x="4457700" y="731520"/>
              <a:ext cx="1547347" cy="3203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PT" sz="1100" b="0" i="1">
                        <a:latin typeface="Cambria Math" panose="02040503050406030204" pitchFamily="18" charset="0"/>
                      </a:rPr>
                      <m:t>𝑅𝑒𝑠𝑜𝑙𝑢</m:t>
                    </m:r>
                    <m:r>
                      <a:rPr lang="pt-PT" sz="1100" b="0" i="1">
                        <a:latin typeface="Cambria Math" panose="02040503050406030204" pitchFamily="18" charset="0"/>
                      </a:rPr>
                      <m:t>çã</m:t>
                    </m:r>
                    <m:r>
                      <a:rPr lang="pt-PT" sz="1100" b="0" i="1">
                        <a:latin typeface="Cambria Math" panose="02040503050406030204" pitchFamily="18" charset="0"/>
                      </a:rPr>
                      <m:t>𝑜</m:t>
                    </m:r>
                    <m:r>
                      <a:rPr lang="pt-PT" sz="1100" b="0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pt-PT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t-PT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5</m:t>
                        </m:r>
                      </m:num>
                      <m:den>
                        <m:sSup>
                          <m:sSupPr>
                            <m:ctrlPr>
                              <a:rPr lang="pt-PT" sz="11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pt-PT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e>
                          <m:sup>
                            <m:r>
                              <a:rPr lang="pt-PT" sz="1100" b="0" i="1">
                                <a:latin typeface="Cambria Math" panose="02040503050406030204" pitchFamily="18" charset="0"/>
                              </a:rPr>
                              <m:t>10</m:t>
                            </m:r>
                          </m:sup>
                        </m:sSup>
                      </m:den>
                    </m:f>
                    <m:r>
                      <a:rPr lang="pt-PT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≈5</m:t>
                    </m:r>
                    <m:r>
                      <a:rPr lang="pt-PT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𝑚𝑉</m:t>
                    </m:r>
                  </m:oMath>
                </m:oMathPara>
              </a14:m>
              <a:endParaRPr lang="pt-PT" sz="1100"/>
            </a:p>
          </xdr:txBody>
        </xdr:sp>
      </mc:Choice>
      <mc:Fallback xmlns=""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980FABA2-BEC3-479C-894C-D1857521EAFC}"/>
                </a:ext>
              </a:extLst>
            </xdr:cNvPr>
            <xdr:cNvSpPr txBox="1"/>
          </xdr:nvSpPr>
          <xdr:spPr>
            <a:xfrm>
              <a:off x="4457700" y="731520"/>
              <a:ext cx="1547347" cy="3203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PT" sz="1100" b="0" i="0">
                  <a:latin typeface="Cambria Math" panose="02040503050406030204" pitchFamily="18" charset="0"/>
                </a:rPr>
                <a:t>𝑅𝑒𝑠𝑜𝑙𝑢çã𝑜= </a:t>
              </a:r>
              <a:r>
                <a:rPr lang="pt-PT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5/</a:t>
              </a:r>
              <a:r>
                <a:rPr lang="pt-PT" sz="1100" b="0" i="0">
                  <a:latin typeface="Cambria Math" panose="02040503050406030204" pitchFamily="18" charset="0"/>
                </a:rPr>
                <a:t>2^10 </a:t>
              </a:r>
              <a:r>
                <a:rPr lang="pt-PT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≈5𝑚𝑉</a:t>
              </a:r>
              <a:endParaRPr lang="pt-PT" sz="1100"/>
            </a:p>
          </xdr:txBody>
        </xdr:sp>
      </mc:Fallback>
    </mc:AlternateContent>
    <xdr:clientData/>
  </xdr:oneCellAnchor>
  <xdr:oneCellAnchor>
    <xdr:from>
      <xdr:col>2</xdr:col>
      <xdr:colOff>434340</xdr:colOff>
      <xdr:row>0</xdr:row>
      <xdr:rowOff>19050</xdr:rowOff>
    </xdr:from>
    <xdr:ext cx="2577716" cy="24378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aixaDeTexto 3">
              <a:extLst>
                <a:ext uri="{FF2B5EF4-FFF2-40B4-BE49-F238E27FC236}">
                  <a16:creationId xmlns:a16="http://schemas.microsoft.com/office/drawing/2014/main" id="{73642041-0A8B-90DE-D7C6-FC6D1B81330D}"/>
                </a:ext>
              </a:extLst>
            </xdr:cNvPr>
            <xdr:cNvSpPr txBox="1"/>
          </xdr:nvSpPr>
          <xdr:spPr>
            <a:xfrm>
              <a:off x="3352944" y="19050"/>
              <a:ext cx="2577716" cy="2437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f>
                    <m:fPr>
                      <m:ctrlPr>
                        <a:rPr lang="pt-PT" sz="1100" i="1">
                          <a:latin typeface="Cambria Math" panose="02040503050406030204" pitchFamily="18" charset="0"/>
                        </a:rPr>
                      </m:ctrlPr>
                    </m:fPr>
                    <m:num>
                      <m:r>
                        <a:rPr lang="pt-PT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𝑑𝑉</m:t>
                      </m:r>
                      <m:r>
                        <a:rPr lang="pt-PT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2</m:t>
                      </m:r>
                    </m:num>
                    <m:den>
                      <m:r>
                        <a:rPr lang="pt-PT" sz="110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𝑑𝑇</m:t>
                      </m:r>
                    </m:den>
                  </m:f>
                  <m:d>
                    <m:dPr>
                      <m:ctrlPr>
                        <a:rPr lang="pt-PT" sz="1100" i="1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pt-PT" sz="1100" i="1">
                          <a:latin typeface="Cambria Math" panose="02040503050406030204" pitchFamily="18" charset="0"/>
                        </a:rPr>
                        <m:t>0.2507</m:t>
                      </m:r>
                      <m:r>
                        <a:rPr lang="pt-PT" sz="1100" i="1">
                          <a:latin typeface="Cambria Math" panose="02040503050406030204" pitchFamily="18" charset="0"/>
                        </a:rPr>
                        <m:t>𝑇</m:t>
                      </m:r>
                      <m:r>
                        <a:rPr lang="pt-PT" sz="1100" i="1">
                          <a:latin typeface="Cambria Math" panose="02040503050406030204" pitchFamily="18" charset="0"/>
                        </a:rPr>
                        <m:t>− 4.3346</m:t>
                      </m:r>
                    </m:e>
                  </m:d>
                  <m:r>
                    <a:rPr lang="pt-PT" sz="1100" i="1">
                      <a:latin typeface="Cambria Math" panose="02040503050406030204" pitchFamily="18" charset="0"/>
                    </a:rPr>
                    <m:t>= 250</m:t>
                  </m:r>
                  <m:r>
                    <a:rPr lang="pt-PT" sz="1100" b="0" i="1">
                      <a:latin typeface="Cambria Math" panose="02040503050406030204" pitchFamily="18" charset="0"/>
                    </a:rPr>
                    <m:t> </m:t>
                  </m:r>
                  <m:r>
                    <a:rPr lang="pt-PT" sz="1100" b="0" i="1">
                      <a:latin typeface="Cambria Math" panose="02040503050406030204" pitchFamily="18" charset="0"/>
                    </a:rPr>
                    <m:t>𝑚𝑉</m:t>
                  </m:r>
                </m:oMath>
              </a14:m>
              <a:r>
                <a:rPr lang="pt-PT" sz="1100"/>
                <a:t>/º C</a:t>
              </a:r>
            </a:p>
          </xdr:txBody>
        </xdr:sp>
      </mc:Choice>
      <mc:Fallback xmlns="">
        <xdr:sp macro="" textlink="">
          <xdr:nvSpPr>
            <xdr:cNvPr id="4" name="CaixaDeTexto 3">
              <a:extLst>
                <a:ext uri="{FF2B5EF4-FFF2-40B4-BE49-F238E27FC236}">
                  <a16:creationId xmlns:a16="http://schemas.microsoft.com/office/drawing/2014/main" id="{73642041-0A8B-90DE-D7C6-FC6D1B81330D}"/>
                </a:ext>
              </a:extLst>
            </xdr:cNvPr>
            <xdr:cNvSpPr txBox="1"/>
          </xdr:nvSpPr>
          <xdr:spPr>
            <a:xfrm>
              <a:off x="3352944" y="19050"/>
              <a:ext cx="2577716" cy="2437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pt-PT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𝑑𝑉2/𝑑𝑇 </a:t>
              </a:r>
              <a:r>
                <a:rPr lang="pt-PT" sz="1100" i="0">
                  <a:latin typeface="Cambria Math" panose="02040503050406030204" pitchFamily="18" charset="0"/>
                </a:rPr>
                <a:t>(0.2507𝑇− 4.3346)= 250</a:t>
              </a:r>
              <a:r>
                <a:rPr lang="pt-PT" sz="1100" b="0" i="0">
                  <a:latin typeface="Cambria Math" panose="02040503050406030204" pitchFamily="18" charset="0"/>
                </a:rPr>
                <a:t> 𝑚𝑉</a:t>
              </a:r>
              <a:r>
                <a:rPr lang="pt-PT" sz="1100"/>
                <a:t>/º C</a:t>
              </a:r>
            </a:p>
          </xdr:txBody>
        </xdr:sp>
      </mc:Fallback>
    </mc:AlternateContent>
    <xdr:clientData/>
  </xdr:oneCellAnchor>
  <xdr:oneCellAnchor>
    <xdr:from>
      <xdr:col>1</xdr:col>
      <xdr:colOff>548640</xdr:colOff>
      <xdr:row>9</xdr:row>
      <xdr:rowOff>3810</xdr:rowOff>
    </xdr:from>
    <xdr:ext cx="2664384" cy="35189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aixaDeTexto 4">
              <a:extLst>
                <a:ext uri="{FF2B5EF4-FFF2-40B4-BE49-F238E27FC236}">
                  <a16:creationId xmlns:a16="http://schemas.microsoft.com/office/drawing/2014/main" id="{D59611F4-1818-5DEC-F9F0-ED4A86FDE63B}"/>
                </a:ext>
              </a:extLst>
            </xdr:cNvPr>
            <xdr:cNvSpPr txBox="1"/>
          </xdr:nvSpPr>
          <xdr:spPr>
            <a:xfrm>
              <a:off x="2217420" y="1283970"/>
              <a:ext cx="2664384" cy="3518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pt-PT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t-PT" sz="1100" b="0" i="1">
                            <a:latin typeface="Cambria Math" panose="02040503050406030204" pitchFamily="18" charset="0"/>
                          </a:rPr>
                          <m:t>𝑆𝑒𝑛𝑠𝑖𝑏𝑖𝑙𝑖𝑑𝑎𝑑𝑒</m:t>
                        </m:r>
                        <m:r>
                          <a:rPr lang="pt-PT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pt-PT" sz="1100" b="0" i="1">
                            <a:latin typeface="Cambria Math" panose="02040503050406030204" pitchFamily="18" charset="0"/>
                          </a:rPr>
                          <m:t>𝐴𝑛𝑎𝑙</m:t>
                        </m:r>
                        <m:r>
                          <a:rPr lang="pt-PT" sz="1100" b="0" i="1">
                            <a:latin typeface="Cambria Math" panose="02040503050406030204" pitchFamily="18" charset="0"/>
                          </a:rPr>
                          <m:t>ó</m:t>
                        </m:r>
                        <m:r>
                          <a:rPr lang="pt-PT" sz="1100" b="0" i="1">
                            <a:latin typeface="Cambria Math" panose="02040503050406030204" pitchFamily="18" charset="0"/>
                          </a:rPr>
                          <m:t>𝑔𝑖𝑐𝑎</m:t>
                        </m:r>
                      </m:num>
                      <m:den>
                        <m:r>
                          <a:rPr lang="pt-PT" sz="1100" b="0" i="1">
                            <a:latin typeface="Cambria Math" panose="02040503050406030204" pitchFamily="18" charset="0"/>
                          </a:rPr>
                          <m:t>𝑅𝑒𝑠𝑜𝑙𝑢</m:t>
                        </m:r>
                        <m:r>
                          <a:rPr lang="pt-PT" sz="1100" b="0" i="1">
                            <a:latin typeface="Cambria Math" panose="02040503050406030204" pitchFamily="18" charset="0"/>
                          </a:rPr>
                          <m:t>çã</m:t>
                        </m:r>
                        <m:r>
                          <a:rPr lang="pt-PT" sz="1100" b="0" i="1">
                            <a:latin typeface="Cambria Math" panose="02040503050406030204" pitchFamily="18" charset="0"/>
                          </a:rPr>
                          <m:t>𝑜</m:t>
                        </m:r>
                        <m:r>
                          <a:rPr lang="pt-PT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pt-PT" sz="1100" b="0" i="1">
                            <a:latin typeface="Cambria Math" panose="02040503050406030204" pitchFamily="18" charset="0"/>
                          </a:rPr>
                          <m:t>𝐷𝑖𝑔𝑖𝑡𝑎𝑙</m:t>
                        </m:r>
                      </m:den>
                    </m:f>
                    <m:r>
                      <a:rPr lang="pt-PT" sz="1100" b="0" i="0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pt-PT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t-PT" sz="1100" b="0" i="1">
                            <a:latin typeface="Cambria Math" panose="02040503050406030204" pitchFamily="18" charset="0"/>
                          </a:rPr>
                          <m:t>5</m:t>
                        </m:r>
                      </m:num>
                      <m:den>
                        <m:r>
                          <a:rPr lang="pt-PT" sz="1100" b="0" i="1">
                            <a:latin typeface="Cambria Math" panose="02040503050406030204" pitchFamily="18" charset="0"/>
                          </a:rPr>
                          <m:t>250</m:t>
                        </m:r>
                      </m:den>
                    </m:f>
                    <m:r>
                      <a:rPr lang="pt-PT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≈0,02 </m:t>
                    </m:r>
                    <m:r>
                      <m:rPr>
                        <m:nor/>
                      </m:rPr>
                      <a:rPr lang="pt-PT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º </m:t>
                    </m:r>
                    <m:r>
                      <m:rPr>
                        <m:nor/>
                      </m:rPr>
                      <a:rPr lang="pt-PT" sz="110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C</m:t>
                    </m:r>
                  </m:oMath>
                </m:oMathPara>
              </a14:m>
              <a:endParaRPr lang="pt-PT" sz="1100"/>
            </a:p>
          </xdr:txBody>
        </xdr:sp>
      </mc:Choice>
      <mc:Fallback xmlns="">
        <xdr:sp macro="" textlink="">
          <xdr:nvSpPr>
            <xdr:cNvPr id="5" name="CaixaDeTexto 4">
              <a:extLst>
                <a:ext uri="{FF2B5EF4-FFF2-40B4-BE49-F238E27FC236}">
                  <a16:creationId xmlns:a16="http://schemas.microsoft.com/office/drawing/2014/main" id="{D59611F4-1818-5DEC-F9F0-ED4A86FDE63B}"/>
                </a:ext>
              </a:extLst>
            </xdr:cNvPr>
            <xdr:cNvSpPr txBox="1"/>
          </xdr:nvSpPr>
          <xdr:spPr>
            <a:xfrm>
              <a:off x="2217420" y="1283970"/>
              <a:ext cx="2664384" cy="35189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PT" sz="1100" i="0">
                  <a:latin typeface="Cambria Math" panose="02040503050406030204" pitchFamily="18" charset="0"/>
                </a:rPr>
                <a:t>(</a:t>
              </a:r>
              <a:r>
                <a:rPr lang="pt-PT" sz="1100" b="0" i="0">
                  <a:latin typeface="Cambria Math" panose="02040503050406030204" pitchFamily="18" charset="0"/>
                </a:rPr>
                <a:t>𝑆𝑒𝑛𝑠𝑖𝑏𝑖𝑙𝑖𝑑𝑎𝑑𝑒 𝐴𝑛𝑎𝑙ó𝑔𝑖𝑐𝑎)/(𝑅𝑒𝑠𝑜𝑙𝑢çã𝑜 𝐷𝑖𝑔𝑖𝑡𝑎𝑙)=  5/250</a:t>
              </a:r>
              <a:r>
                <a:rPr lang="pt-PT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≈0,02 </a:t>
              </a:r>
              <a:r>
                <a:rPr lang="pt-PT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</a:t>
              </a:r>
              <a:r>
                <a:rPr lang="pt-PT" sz="110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º C</a:t>
              </a:r>
              <a:r>
                <a:rPr lang="pt-PT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</a:t>
              </a:r>
              <a:endParaRPr lang="pt-PT" sz="1100"/>
            </a:p>
          </xdr:txBody>
        </xdr:sp>
      </mc:Fallback>
    </mc:AlternateContent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C49F142-FAB9-4862-A742-BC31FAC90F52}" name="Tabela5" displayName="Tabela5" ref="B2:F41" totalsRowShown="0" dataDxfId="39" headerRowBorderDxfId="40" tableBorderDxfId="38">
  <autoFilter ref="B2:F41" xr:uid="{4C49F142-FAB9-4862-A742-BC31FAC90F52}"/>
  <tableColumns count="5">
    <tableColumn id="1" xr3:uid="{BB77AA30-414D-4CCD-8D22-4DF565866A77}" name="TCR (%K)" dataDxfId="37"/>
    <tableColumn id="2" xr3:uid="{9D27FAC6-0A1F-45E1-A2AD-601FF25155A7}" name="Column B" dataDxfId="36"/>
    <tableColumn id="3" xr3:uid="{E09AC29F-C4AA-474F-8D22-EBC409B29504}" name="Temperatura (ºC)" dataDxfId="35"/>
    <tableColumn id="4" xr3:uid="{A0C84C5A-D7EE-4616-9611-42A845FD9C17}" name="Resistência (Ohms)" dataDxfId="34"/>
    <tableColumn id="5" xr3:uid="{AE0A3396-A73D-47CC-8196-72063301330F}" name="Resistência (Ohms)2" dataDxfId="33">
      <calculatedColumnFormula>E3 * 10^-3</calculatedColumnFormula>
    </tableColumn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73D5BA8-D1C3-430C-ACFA-804789BD3F7F}" name="Tabela6" displayName="Tabela6" ref="B2:D23" totalsRowShown="0" headerRowDxfId="32" headerRowBorderDxfId="31" tableBorderDxfId="30">
  <autoFilter ref="B2:D23" xr:uid="{E73D5BA8-D1C3-430C-ACFA-804789BD3F7F}"/>
  <tableColumns count="3">
    <tableColumn id="1" xr3:uid="{C1D18334-920B-4739-8D45-5EAECE6747ED}" name="Temperatura (ºC)" dataDxfId="29"/>
    <tableColumn id="2" xr3:uid="{6E734D70-FCD9-443C-A6DD-2A389F025C45}" name="Temperatura (K)" dataDxfId="28">
      <calculatedColumnFormula>273.15+B3</calculatedColumnFormula>
    </tableColumn>
    <tableColumn id="3" xr3:uid="{0133BBEB-F0C2-4F34-AE22-B647F5BC4177}" name="Resistência (Ohms)" dataDxfId="27">
      <calculatedColumnFormula>10000*EXP($F$52+($G$52/(C3))+($H$52/(C3)^2)+($I$52/(C3)^3))</calculatedColumnFormula>
    </tableColumn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C61B4C-AAB0-4650-A1CD-9BBA925F5DB3}" name="Tabela1" displayName="Tabela1" ref="A1:B22" totalsRowShown="0" headerRowDxfId="26" dataDxfId="24" headerRowBorderDxfId="25">
  <autoFilter ref="A1:B22" xr:uid="{0CC61B4C-AAB0-4650-A1CD-9BBA925F5DB3}"/>
  <tableColumns count="2">
    <tableColumn id="1" xr3:uid="{9B776EF0-A54C-4845-B8D4-9855C40FD578}" name="T (ºC)" dataDxfId="23"/>
    <tableColumn id="2" xr3:uid="{DEC71CF1-714F-4628-81C2-D82AE9A21DE6}" name="Vd(Pspice)" dataDxfId="2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B501E39-CE41-4492-9E95-12F1F6C9A0BA}" name="Tabela3" displayName="Tabela3" ref="A41:C60" totalsRowShown="0" headerRowDxfId="45" dataDxfId="44">
  <autoFilter ref="A41:C60" xr:uid="{DB501E39-CE41-4492-9E95-12F1F6C9A0BA}"/>
  <tableColumns count="3">
    <tableColumn id="1" xr3:uid="{976F54D3-94B9-416F-BA68-60D42CCAD14D}" name="Tensão (V)" dataDxfId="43"/>
    <tableColumn id="2" xr3:uid="{A348FDDB-0CED-46DE-A95C-9636807361B3}" name="ACM" dataDxfId="42"/>
    <tableColumn id="3" xr3:uid="{44D95BE5-4696-43C0-8CFB-9608834B29BC}" name="CMRR(dB)" dataDxfId="41">
      <calculatedColumnFormula>20*LOG10(B42/2*10^-5)</calculatedColumnFormula>
    </tableColumn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B897FE-8327-4DF1-9B0D-5B5575EC95FD}" name="Tabela2" displayName="Tabela2" ref="B1:E82" totalsRowShown="0" headerRowDxfId="21">
  <autoFilter ref="B1:E82" xr:uid="{D1B897FE-8327-4DF1-9B0D-5B5575EC95FD}"/>
  <tableColumns count="4">
    <tableColumn id="1" xr3:uid="{F5249360-F517-4685-AEA2-29BDDEE596AB}" name="T" dataDxfId="20"/>
    <tableColumn id="3" xr3:uid="{A9F581FF-0DB8-42C2-8266-BAEABE1B2169}" name="R" dataDxfId="19">
      <calculatedColumnFormula xml:space="preserve"> 29646*EXP(-0.043*B2)</calculatedColumnFormula>
    </tableColumn>
    <tableColumn id="4" xr3:uid="{AA5D3636-A68B-419D-8CD5-9CE60BFEA251}" name="V1(Pspice)" dataDxfId="18"/>
    <tableColumn id="2" xr3:uid="{E67C4BDF-7CCC-44B9-9295-F2F3CA21D9EB}" name="V2 (Pspice)" dataDxfId="17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8D9C558-3808-47B7-B676-924B6816587D}" name="Tabela4" displayName="Tabela4" ref="A1:O22" totalsRowShown="0" headerRowDxfId="16" dataDxfId="15">
  <autoFilter ref="A1:O22" xr:uid="{B8D9C558-3808-47B7-B676-924B6816587D}"/>
  <tableColumns count="15">
    <tableColumn id="1" xr3:uid="{22203D60-5E4C-4561-AE04-1A88F3726823}" name="T" dataDxfId="14"/>
    <tableColumn id="2" xr3:uid="{59830B84-EB7F-4877-9CB9-519DB081FDB2}" name="W(NTC2)" dataDxfId="13"/>
    <tableColumn id="3" xr3:uid="{099A8AF7-BBE3-45FE-B9BE-7A4407B534E0}" name="W(R1)" dataDxfId="12"/>
    <tableColumn id="4" xr3:uid="{6726EC22-9855-430D-90D2-634542C10893}" name="W(R2)" dataDxfId="11"/>
    <tableColumn id="5" xr3:uid="{6D2DB195-F939-4493-96ED-E0C78F59A587}" name="W(R3)" dataDxfId="10"/>
    <tableColumn id="6" xr3:uid="{CD520B23-DAFE-47F0-B248-32FB7B01C1E3}" name="W(R4)" dataDxfId="9"/>
    <tableColumn id="7" xr3:uid="{11B0AF1F-DEE1-4225-AA3D-6C49DF5D9A34}" name="W(R5)" dataDxfId="8"/>
    <tableColumn id="8" xr3:uid="{927018E4-FC60-4622-8427-FA7D4C28998E}" name="W(R6)" dataDxfId="7"/>
    <tableColumn id="9" xr3:uid="{A3C63022-0C90-4F2A-9FA2-0DAB9BA58C06}" name="W(R7)" dataDxfId="6"/>
    <tableColumn id="10" xr3:uid="{D90B812C-EE29-4ECD-9783-08497C3F87A4}" name="W(R8)" dataDxfId="5"/>
    <tableColumn id="11" xr3:uid="{3578EC70-6097-4393-BD36-F52B3ABE3B9B}" name="W(R9)" dataDxfId="4"/>
    <tableColumn id="12" xr3:uid="{6BE0E9F5-3982-4C41-940C-872A951BB2CC}" name="W(R10)" dataDxfId="3"/>
    <tableColumn id="13" xr3:uid="{99A51054-3A0C-4568-956E-30C6B7D65D0C}" name="W(R11)" dataDxfId="2"/>
    <tableColumn id="14" xr3:uid="{F1CAAED7-71A8-42CE-BCE9-464B20BD03AB}" name="W(R12)" dataDxfId="1"/>
    <tableColumn id="15" xr3:uid="{F4148880-BC0F-48B8-8B78-20395F188B24}" name="W(R13)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BF4C1-7B79-4D9C-9D6D-E87FC799FE72}">
  <sheetPr>
    <tabColor theme="1" tint="0.249977111117893"/>
  </sheetPr>
  <dimension ref="B1:AB73"/>
  <sheetViews>
    <sheetView topLeftCell="F1" zoomScale="70" zoomScaleNormal="70" workbookViewId="0">
      <selection activeCell="G32" sqref="G32"/>
    </sheetView>
  </sheetViews>
  <sheetFormatPr defaultRowHeight="14.4" x14ac:dyDescent="0.3"/>
  <cols>
    <col min="1" max="1" width="3" customWidth="1"/>
    <col min="2" max="3" width="11.6640625" customWidth="1"/>
    <col min="4" max="4" width="18.109375" customWidth="1"/>
    <col min="5" max="5" width="20.6640625" style="1" customWidth="1"/>
    <col min="6" max="6" width="22.5546875" customWidth="1"/>
  </cols>
  <sheetData>
    <row r="1" spans="2:21" x14ac:dyDescent="0.3">
      <c r="B1" s="60" t="s">
        <v>0</v>
      </c>
      <c r="C1" s="61"/>
      <c r="D1" s="61"/>
      <c r="E1" s="61"/>
      <c r="F1" s="61"/>
    </row>
    <row r="2" spans="2:21" ht="15" thickBot="1" x14ac:dyDescent="0.35">
      <c r="B2" s="7" t="s">
        <v>1</v>
      </c>
      <c r="C2" s="7" t="s">
        <v>2</v>
      </c>
      <c r="D2" s="7" t="s">
        <v>3</v>
      </c>
      <c r="E2" s="8" t="s">
        <v>4</v>
      </c>
      <c r="F2" s="25" t="s">
        <v>29</v>
      </c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</row>
    <row r="3" spans="2:21" x14ac:dyDescent="0.3">
      <c r="B3" s="2">
        <v>-6.62</v>
      </c>
      <c r="C3" s="2">
        <v>2.79</v>
      </c>
      <c r="D3" s="2">
        <v>-40</v>
      </c>
      <c r="E3" s="2">
        <v>332094</v>
      </c>
      <c r="F3" s="23">
        <f t="shared" ref="F3:F41" si="0">E3 * 10^-3</f>
        <v>332.09399999999999</v>
      </c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</row>
    <row r="4" spans="2:21" x14ac:dyDescent="0.3">
      <c r="B4" s="2">
        <v>-6.39</v>
      </c>
      <c r="C4" s="2">
        <v>2.52</v>
      </c>
      <c r="D4" s="2">
        <v>-35</v>
      </c>
      <c r="E4" s="2">
        <v>239900</v>
      </c>
      <c r="F4" s="2">
        <f t="shared" si="0"/>
        <v>239.9</v>
      </c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</row>
    <row r="5" spans="2:21" x14ac:dyDescent="0.3">
      <c r="B5" s="2">
        <v>-6.18</v>
      </c>
      <c r="C5" s="2">
        <v>2.2599999999999998</v>
      </c>
      <c r="D5" s="2">
        <v>-30</v>
      </c>
      <c r="E5" s="2">
        <v>175200</v>
      </c>
      <c r="F5" s="2">
        <f t="shared" si="0"/>
        <v>175.20000000000002</v>
      </c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</row>
    <row r="6" spans="2:21" x14ac:dyDescent="0.3">
      <c r="B6" s="2">
        <v>-5.98</v>
      </c>
      <c r="C6" s="2">
        <v>2.02</v>
      </c>
      <c r="D6" s="2">
        <v>-25</v>
      </c>
      <c r="E6" s="2">
        <v>129287</v>
      </c>
      <c r="F6" s="2">
        <f t="shared" si="0"/>
        <v>129.28700000000001</v>
      </c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</row>
    <row r="7" spans="2:21" x14ac:dyDescent="0.3">
      <c r="B7" s="2">
        <v>-5.78</v>
      </c>
      <c r="C7" s="2">
        <v>1.78</v>
      </c>
      <c r="D7" s="2">
        <v>-20</v>
      </c>
      <c r="E7" s="2">
        <v>96358</v>
      </c>
      <c r="F7" s="2">
        <f t="shared" si="0"/>
        <v>96.358000000000004</v>
      </c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</row>
    <row r="8" spans="2:21" x14ac:dyDescent="0.3">
      <c r="B8" s="2">
        <v>-5.6</v>
      </c>
      <c r="C8" s="2">
        <v>1.55</v>
      </c>
      <c r="D8" s="2">
        <v>-15</v>
      </c>
      <c r="E8" s="2">
        <v>72500</v>
      </c>
      <c r="F8" s="2">
        <f t="shared" si="0"/>
        <v>72.5</v>
      </c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</row>
    <row r="9" spans="2:21" x14ac:dyDescent="0.3">
      <c r="B9" s="2">
        <v>-5.42</v>
      </c>
      <c r="C9" s="2">
        <v>1.33</v>
      </c>
      <c r="D9" s="2">
        <v>-10</v>
      </c>
      <c r="E9" s="2">
        <v>55046</v>
      </c>
      <c r="F9" s="2">
        <f t="shared" si="0"/>
        <v>55.045999999999999</v>
      </c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</row>
    <row r="10" spans="2:21" x14ac:dyDescent="0.3">
      <c r="B10" s="2">
        <v>-5.25</v>
      </c>
      <c r="C10" s="2">
        <v>1.1200000000000001</v>
      </c>
      <c r="D10" s="2">
        <v>-5</v>
      </c>
      <c r="E10" s="2">
        <v>42157</v>
      </c>
      <c r="F10" s="2">
        <f t="shared" si="0"/>
        <v>42.157000000000004</v>
      </c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</row>
    <row r="11" spans="2:21" x14ac:dyDescent="0.3">
      <c r="B11" s="2">
        <v>-5.09</v>
      </c>
      <c r="C11" s="2">
        <v>0.92</v>
      </c>
      <c r="D11" s="2">
        <v>0</v>
      </c>
      <c r="E11" s="2">
        <v>32554</v>
      </c>
      <c r="F11" s="2">
        <f t="shared" si="0"/>
        <v>32.554000000000002</v>
      </c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</row>
    <row r="12" spans="2:21" x14ac:dyDescent="0.3">
      <c r="B12" s="2">
        <v>-4.93</v>
      </c>
      <c r="C12" s="2">
        <v>0.72</v>
      </c>
      <c r="D12" s="2">
        <v>5</v>
      </c>
      <c r="E12" s="2">
        <v>25339</v>
      </c>
      <c r="F12" s="2">
        <f t="shared" si="0"/>
        <v>25.339000000000002</v>
      </c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</row>
    <row r="13" spans="2:21" x14ac:dyDescent="0.3">
      <c r="B13" s="2">
        <v>-4.79</v>
      </c>
      <c r="C13" s="2">
        <v>0.53</v>
      </c>
      <c r="D13" s="2">
        <v>10</v>
      </c>
      <c r="E13" s="2">
        <v>19872</v>
      </c>
      <c r="F13" s="2">
        <f t="shared" si="0"/>
        <v>19.872</v>
      </c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</row>
    <row r="14" spans="2:21" x14ac:dyDescent="0.3">
      <c r="B14" s="2">
        <v>-4.6399999999999997</v>
      </c>
      <c r="C14" s="2">
        <v>0.35</v>
      </c>
      <c r="D14" s="2">
        <v>15</v>
      </c>
      <c r="E14" s="2">
        <v>15698</v>
      </c>
      <c r="F14" s="2">
        <f t="shared" si="0"/>
        <v>15.698</v>
      </c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</row>
    <row r="15" spans="2:21" x14ac:dyDescent="0.3">
      <c r="B15" s="2">
        <v>-4.51</v>
      </c>
      <c r="C15" s="2">
        <v>0.17</v>
      </c>
      <c r="D15" s="2">
        <v>20</v>
      </c>
      <c r="E15" s="2">
        <v>12488</v>
      </c>
      <c r="F15" s="2">
        <f t="shared" si="0"/>
        <v>12.488</v>
      </c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</row>
    <row r="16" spans="2:21" x14ac:dyDescent="0.3">
      <c r="B16" s="2">
        <v>-4.38</v>
      </c>
      <c r="C16" s="2">
        <v>0</v>
      </c>
      <c r="D16" s="2">
        <v>25</v>
      </c>
      <c r="E16" s="2">
        <v>10000</v>
      </c>
      <c r="F16" s="2">
        <f t="shared" si="0"/>
        <v>10</v>
      </c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</row>
    <row r="17" spans="2:21" x14ac:dyDescent="0.3">
      <c r="B17" s="2">
        <v>-4.25</v>
      </c>
      <c r="C17" s="2">
        <v>0.17</v>
      </c>
      <c r="D17" s="2">
        <v>30</v>
      </c>
      <c r="E17" s="2">
        <v>8059</v>
      </c>
      <c r="F17" s="2">
        <f t="shared" si="0"/>
        <v>8.0590000000000011</v>
      </c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</row>
    <row r="18" spans="2:21" x14ac:dyDescent="0.3">
      <c r="B18" s="2">
        <v>-4.13</v>
      </c>
      <c r="C18" s="2">
        <v>0.32</v>
      </c>
      <c r="D18" s="2">
        <v>35</v>
      </c>
      <c r="E18" s="2">
        <v>6535</v>
      </c>
      <c r="F18" s="2">
        <f t="shared" si="0"/>
        <v>6.5350000000000001</v>
      </c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</row>
    <row r="19" spans="2:21" x14ac:dyDescent="0.3">
      <c r="B19" s="2">
        <v>-4.0199999999999996</v>
      </c>
      <c r="C19" s="2">
        <v>0.48</v>
      </c>
      <c r="D19" s="2">
        <v>40</v>
      </c>
      <c r="E19" s="2">
        <v>5330</v>
      </c>
      <c r="F19" s="2">
        <f t="shared" si="0"/>
        <v>5.33</v>
      </c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</row>
    <row r="20" spans="2:21" x14ac:dyDescent="0.3">
      <c r="B20" s="2">
        <v>-3.91</v>
      </c>
      <c r="C20" s="2">
        <v>0.63</v>
      </c>
      <c r="D20" s="2">
        <v>45</v>
      </c>
      <c r="E20" s="2">
        <v>4372</v>
      </c>
      <c r="F20" s="2">
        <f t="shared" si="0"/>
        <v>4.3719999999999999</v>
      </c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</row>
    <row r="21" spans="2:21" x14ac:dyDescent="0.3">
      <c r="B21" s="2">
        <v>-3.8</v>
      </c>
      <c r="C21" s="2">
        <v>0.77</v>
      </c>
      <c r="D21" s="2">
        <v>50</v>
      </c>
      <c r="E21" s="2">
        <v>3605</v>
      </c>
      <c r="F21" s="2">
        <f t="shared" si="0"/>
        <v>3.605</v>
      </c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</row>
    <row r="22" spans="2:21" x14ac:dyDescent="0.3">
      <c r="B22" s="2">
        <v>-3.7</v>
      </c>
      <c r="C22" s="2">
        <v>0.91</v>
      </c>
      <c r="D22" s="2">
        <v>55</v>
      </c>
      <c r="E22" s="2">
        <v>2989</v>
      </c>
      <c r="F22" s="2">
        <f t="shared" si="0"/>
        <v>2.9889999999999999</v>
      </c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</row>
    <row r="23" spans="2:21" x14ac:dyDescent="0.3">
      <c r="B23" s="2">
        <v>-3.6</v>
      </c>
      <c r="C23" s="2">
        <v>1.05</v>
      </c>
      <c r="D23" s="2">
        <v>60</v>
      </c>
      <c r="E23" s="2">
        <v>2490</v>
      </c>
      <c r="F23" s="2">
        <f t="shared" si="0"/>
        <v>2.4900000000000002</v>
      </c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</row>
    <row r="24" spans="2:21" x14ac:dyDescent="0.3">
      <c r="B24" s="2">
        <v>-3.51</v>
      </c>
      <c r="C24" s="2">
        <v>1.18</v>
      </c>
      <c r="D24" s="2">
        <v>65</v>
      </c>
      <c r="E24" s="2">
        <v>2084</v>
      </c>
      <c r="F24" s="2">
        <f t="shared" si="0"/>
        <v>2.0840000000000001</v>
      </c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</row>
    <row r="25" spans="2:21" x14ac:dyDescent="0.3">
      <c r="B25" s="2">
        <v>-3.42</v>
      </c>
      <c r="C25" s="2">
        <v>1.31</v>
      </c>
      <c r="D25" s="2">
        <v>70</v>
      </c>
      <c r="E25" s="2">
        <v>1753</v>
      </c>
      <c r="F25" s="2">
        <f t="shared" si="0"/>
        <v>1.7530000000000001</v>
      </c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</row>
    <row r="26" spans="2:21" x14ac:dyDescent="0.3">
      <c r="B26" s="2">
        <v>-3.33</v>
      </c>
      <c r="C26" s="2">
        <v>1.44</v>
      </c>
      <c r="D26" s="2">
        <v>75</v>
      </c>
      <c r="E26" s="2">
        <v>1481</v>
      </c>
      <c r="F26" s="2">
        <f t="shared" si="0"/>
        <v>1.4810000000000001</v>
      </c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</row>
    <row r="27" spans="2:21" x14ac:dyDescent="0.3">
      <c r="B27" s="2">
        <v>-3.25</v>
      </c>
      <c r="C27" s="2">
        <v>1.56</v>
      </c>
      <c r="D27" s="2">
        <v>80</v>
      </c>
      <c r="E27" s="2">
        <v>1256</v>
      </c>
      <c r="F27" s="2">
        <f t="shared" si="0"/>
        <v>1.256</v>
      </c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</row>
    <row r="28" spans="2:21" x14ac:dyDescent="0.3">
      <c r="B28" s="2">
        <v>-3.17</v>
      </c>
      <c r="C28" s="2">
        <v>1.68</v>
      </c>
      <c r="D28" s="2">
        <v>85</v>
      </c>
      <c r="E28" s="2">
        <v>1070</v>
      </c>
      <c r="F28" s="2">
        <f t="shared" si="0"/>
        <v>1.07</v>
      </c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</row>
    <row r="29" spans="2:21" x14ac:dyDescent="0.3">
      <c r="B29" s="2">
        <v>-3.09</v>
      </c>
      <c r="C29" s="2">
        <v>1.79</v>
      </c>
      <c r="D29" s="2">
        <v>90</v>
      </c>
      <c r="E29" s="2">
        <v>915.4</v>
      </c>
      <c r="F29" s="2">
        <f t="shared" si="0"/>
        <v>0.91539999999999999</v>
      </c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</row>
    <row r="30" spans="2:21" x14ac:dyDescent="0.3">
      <c r="B30" s="2">
        <v>-3.01</v>
      </c>
      <c r="C30" s="2">
        <v>1.9</v>
      </c>
      <c r="D30" s="2">
        <v>95</v>
      </c>
      <c r="E30" s="2">
        <v>786</v>
      </c>
      <c r="F30" s="2">
        <f t="shared" si="0"/>
        <v>0.78600000000000003</v>
      </c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</row>
    <row r="31" spans="2:21" x14ac:dyDescent="0.3">
      <c r="B31" s="2">
        <v>-2.94</v>
      </c>
      <c r="C31" s="2">
        <v>2.0099999999999998</v>
      </c>
      <c r="D31" s="2">
        <v>100</v>
      </c>
      <c r="E31" s="2">
        <v>677.3</v>
      </c>
      <c r="F31" s="2">
        <f t="shared" si="0"/>
        <v>0.67730000000000001</v>
      </c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</row>
    <row r="32" spans="2:21" x14ac:dyDescent="0.3">
      <c r="B32" s="2">
        <v>-2.87</v>
      </c>
      <c r="C32" s="2">
        <v>2.12</v>
      </c>
      <c r="D32" s="2">
        <v>105</v>
      </c>
      <c r="E32" s="2">
        <v>585.70000000000005</v>
      </c>
      <c r="F32" s="2">
        <f t="shared" si="0"/>
        <v>0.58570000000000011</v>
      </c>
    </row>
    <row r="33" spans="2:28" x14ac:dyDescent="0.3">
      <c r="B33" s="2">
        <v>-2.8</v>
      </c>
      <c r="C33" s="2">
        <v>2.2200000000000002</v>
      </c>
      <c r="D33" s="2">
        <v>110</v>
      </c>
      <c r="E33" s="2">
        <v>508.3</v>
      </c>
      <c r="F33" s="2">
        <f t="shared" si="0"/>
        <v>0.50829999999999997</v>
      </c>
    </row>
    <row r="34" spans="2:28" x14ac:dyDescent="0.3">
      <c r="B34" s="2">
        <v>-2.74</v>
      </c>
      <c r="C34" s="2">
        <v>2.3199999999999998</v>
      </c>
      <c r="D34" s="2">
        <v>115</v>
      </c>
      <c r="E34" s="2">
        <v>442.6</v>
      </c>
      <c r="F34" s="2">
        <f t="shared" si="0"/>
        <v>0.44260000000000005</v>
      </c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</row>
    <row r="35" spans="2:28" x14ac:dyDescent="0.3">
      <c r="B35" s="2">
        <v>-2.67</v>
      </c>
      <c r="C35" s="2">
        <v>2.42</v>
      </c>
      <c r="D35" s="2">
        <v>120</v>
      </c>
      <c r="E35" s="2">
        <v>386.6</v>
      </c>
      <c r="F35" s="2">
        <f t="shared" si="0"/>
        <v>0.38660000000000005</v>
      </c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</row>
    <row r="36" spans="2:28" x14ac:dyDescent="0.3">
      <c r="B36" s="2">
        <v>-2.61</v>
      </c>
      <c r="C36" s="2">
        <v>2.5099999999999998</v>
      </c>
      <c r="D36" s="2">
        <v>125</v>
      </c>
      <c r="E36" s="2">
        <v>338.7</v>
      </c>
      <c r="F36" s="2">
        <f t="shared" si="0"/>
        <v>0.3387</v>
      </c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</row>
    <row r="37" spans="2:28" x14ac:dyDescent="0.3">
      <c r="B37" s="2">
        <v>-2.5499999999999998</v>
      </c>
      <c r="C37" s="2">
        <v>2.61</v>
      </c>
      <c r="D37" s="2">
        <v>130</v>
      </c>
      <c r="E37" s="2">
        <v>297.7</v>
      </c>
      <c r="F37" s="2">
        <f t="shared" si="0"/>
        <v>0.29770000000000002</v>
      </c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</row>
    <row r="38" spans="2:28" x14ac:dyDescent="0.3">
      <c r="B38" s="2">
        <v>-2.5</v>
      </c>
      <c r="C38" s="2">
        <v>2.7</v>
      </c>
      <c r="D38" s="2">
        <v>135</v>
      </c>
      <c r="E38" s="2">
        <v>262.39999999999998</v>
      </c>
      <c r="F38" s="2">
        <f t="shared" si="0"/>
        <v>0.26239999999999997</v>
      </c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</row>
    <row r="39" spans="2:28" x14ac:dyDescent="0.3">
      <c r="B39" s="2">
        <v>-2.44</v>
      </c>
      <c r="C39" s="2">
        <v>2.78</v>
      </c>
      <c r="D39" s="2">
        <v>140</v>
      </c>
      <c r="E39" s="2">
        <v>231.9</v>
      </c>
      <c r="F39" s="2">
        <f t="shared" si="0"/>
        <v>0.23190000000000002</v>
      </c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</row>
    <row r="40" spans="2:28" x14ac:dyDescent="0.3">
      <c r="B40" s="2">
        <v>-2.39</v>
      </c>
      <c r="C40" s="2">
        <v>2.87</v>
      </c>
      <c r="D40" s="2">
        <v>145</v>
      </c>
      <c r="E40" s="2">
        <v>205.5</v>
      </c>
      <c r="F40" s="2">
        <f t="shared" si="0"/>
        <v>0.20550000000000002</v>
      </c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</row>
    <row r="41" spans="2:28" x14ac:dyDescent="0.3">
      <c r="B41" s="2">
        <v>-2.34</v>
      </c>
      <c r="C41" s="2">
        <v>2.96</v>
      </c>
      <c r="D41" s="2">
        <v>150</v>
      </c>
      <c r="E41" s="2">
        <v>182.6</v>
      </c>
      <c r="F41" s="24">
        <f t="shared" si="0"/>
        <v>0.18259999999999998</v>
      </c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</row>
    <row r="42" spans="2:28" x14ac:dyDescent="0.3"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</row>
    <row r="43" spans="2:28" x14ac:dyDescent="0.3"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</row>
    <row r="44" spans="2:28" x14ac:dyDescent="0.3"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</row>
    <row r="45" spans="2:28" x14ac:dyDescent="0.3"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</row>
    <row r="46" spans="2:28" x14ac:dyDescent="0.3"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</row>
    <row r="47" spans="2:28" x14ac:dyDescent="0.3"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</row>
    <row r="48" spans="2:28" x14ac:dyDescent="0.3"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</row>
    <row r="49" spans="7:28" x14ac:dyDescent="0.3"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</row>
    <row r="50" spans="7:28" x14ac:dyDescent="0.3"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</row>
    <row r="51" spans="7:28" x14ac:dyDescent="0.3"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</row>
    <row r="52" spans="7:28" x14ac:dyDescent="0.3"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</row>
    <row r="53" spans="7:28" x14ac:dyDescent="0.3"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</row>
    <row r="54" spans="7:28" x14ac:dyDescent="0.3"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</row>
    <row r="55" spans="7:28" x14ac:dyDescent="0.3"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</row>
    <row r="56" spans="7:28" x14ac:dyDescent="0.3"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</row>
    <row r="57" spans="7:28" x14ac:dyDescent="0.3"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</row>
    <row r="58" spans="7:28" x14ac:dyDescent="0.3"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</row>
    <row r="59" spans="7:28" x14ac:dyDescent="0.3"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</row>
    <row r="60" spans="7:28" x14ac:dyDescent="0.3"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</row>
    <row r="61" spans="7:28" x14ac:dyDescent="0.3"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</row>
    <row r="62" spans="7:28" x14ac:dyDescent="0.3"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</row>
    <row r="63" spans="7:28" x14ac:dyDescent="0.3"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</row>
    <row r="64" spans="7:28" x14ac:dyDescent="0.3"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</row>
    <row r="65" spans="7:28" x14ac:dyDescent="0.3"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</row>
    <row r="66" spans="7:28" x14ac:dyDescent="0.3"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</row>
    <row r="67" spans="7:28" x14ac:dyDescent="0.3"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</row>
    <row r="68" spans="7:28" x14ac:dyDescent="0.3"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</row>
    <row r="69" spans="7:28" x14ac:dyDescent="0.3"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</row>
    <row r="70" spans="7:28" x14ac:dyDescent="0.3"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</row>
    <row r="71" spans="7:28" x14ac:dyDescent="0.3"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</row>
    <row r="72" spans="7:28" x14ac:dyDescent="0.3"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</row>
    <row r="73" spans="7:28" x14ac:dyDescent="0.3"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</row>
  </sheetData>
  <mergeCells count="3">
    <mergeCell ref="G2:U31"/>
    <mergeCell ref="B1:F1"/>
    <mergeCell ref="G34:AB73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B27F8-1FAB-4FD1-B83F-AE8F5F18C3BF}">
  <sheetPr>
    <tabColor theme="1" tint="0.249977111117893"/>
  </sheetPr>
  <dimension ref="B1:Z52"/>
  <sheetViews>
    <sheetView zoomScale="34" zoomScaleNormal="115" workbookViewId="0">
      <selection activeCell="B2" sqref="B2"/>
    </sheetView>
  </sheetViews>
  <sheetFormatPr defaultRowHeight="14.4" x14ac:dyDescent="0.3"/>
  <cols>
    <col min="1" max="1" width="2.5546875" customWidth="1"/>
    <col min="2" max="3" width="18.33203125" customWidth="1"/>
    <col min="4" max="4" width="20.88671875" customWidth="1"/>
    <col min="8" max="8" width="12.6640625" customWidth="1"/>
    <col min="9" max="9" width="13.109375" customWidth="1"/>
    <col min="10" max="10" width="9" bestFit="1" customWidth="1"/>
    <col min="13" max="13" width="12.44140625" customWidth="1"/>
    <col min="14" max="14" width="9.88671875" customWidth="1"/>
    <col min="16" max="16" width="13.5546875" customWidth="1"/>
    <col min="25" max="25" width="23" bestFit="1" customWidth="1"/>
  </cols>
  <sheetData>
    <row r="1" spans="2:26" ht="15.6" customHeight="1" x14ac:dyDescent="0.3">
      <c r="B1" s="68" t="s">
        <v>76</v>
      </c>
      <c r="C1" s="68"/>
      <c r="D1" s="68"/>
    </row>
    <row r="2" spans="2:26" ht="28.95" customHeight="1" x14ac:dyDescent="0.3">
      <c r="B2" s="3" t="s">
        <v>3</v>
      </c>
      <c r="C2" s="3" t="s">
        <v>30</v>
      </c>
      <c r="D2" s="3" t="s">
        <v>4</v>
      </c>
      <c r="F2" s="70" t="s">
        <v>5</v>
      </c>
      <c r="G2" s="70"/>
      <c r="H2" s="70"/>
      <c r="I2" s="70"/>
      <c r="J2" s="70"/>
      <c r="K2" s="70"/>
      <c r="L2" s="5"/>
      <c r="M2" s="5"/>
      <c r="N2" s="5"/>
      <c r="O2" s="5"/>
      <c r="P2" s="5"/>
      <c r="Q2" s="5"/>
      <c r="R2" s="5"/>
    </row>
    <row r="3" spans="2:26" x14ac:dyDescent="0.3">
      <c r="B3" s="12">
        <v>17</v>
      </c>
      <c r="C3" s="12">
        <f>273.15+B3</f>
        <v>290.14999999999998</v>
      </c>
      <c r="D3" s="13">
        <f>10000*EXP($F$52+($G$52/(C3))+($H$52/(C3)^2)+($I$52/(C3)^3))</f>
        <v>14314.022890328866</v>
      </c>
      <c r="F3" s="70"/>
      <c r="G3" s="70"/>
      <c r="H3" s="70"/>
      <c r="I3" s="70"/>
      <c r="J3" s="70"/>
      <c r="K3" s="70"/>
    </row>
    <row r="4" spans="2:26" ht="18" x14ac:dyDescent="0.3">
      <c r="B4" s="12">
        <v>18</v>
      </c>
      <c r="C4" s="12">
        <f t="shared" ref="C4:C23" si="0">273.15+B4</f>
        <v>291.14999999999998</v>
      </c>
      <c r="D4" s="13">
        <f t="shared" ref="D4:D23" si="1">10000*EXP($F$52+($G$52/(C4))+($H$52/(C4)^2)+($I$52/(C4)^3))</f>
        <v>13673.764946448657</v>
      </c>
      <c r="F4" s="71"/>
      <c r="G4" s="71"/>
      <c r="H4" s="71"/>
      <c r="I4" s="71"/>
      <c r="J4" s="71"/>
      <c r="K4" s="71"/>
      <c r="L4" s="5"/>
      <c r="M4" s="5"/>
      <c r="N4" s="5"/>
      <c r="O4" s="5"/>
      <c r="P4" s="5"/>
      <c r="Q4" s="5"/>
      <c r="R4" s="5"/>
    </row>
    <row r="5" spans="2:26" x14ac:dyDescent="0.3">
      <c r="B5" s="12">
        <v>19</v>
      </c>
      <c r="C5" s="12">
        <f t="shared" si="0"/>
        <v>292.14999999999998</v>
      </c>
      <c r="D5" s="13">
        <f t="shared" si="1"/>
        <v>13065.680648039015</v>
      </c>
      <c r="F5" s="71"/>
      <c r="G5" s="71"/>
      <c r="H5" s="71"/>
      <c r="I5" s="71"/>
      <c r="J5" s="71"/>
      <c r="K5" s="71"/>
    </row>
    <row r="6" spans="2:26" ht="14.4" customHeight="1" x14ac:dyDescent="0.3">
      <c r="B6" s="12">
        <v>20</v>
      </c>
      <c r="C6" s="12">
        <f t="shared" si="0"/>
        <v>293.14999999999998</v>
      </c>
      <c r="D6" s="13">
        <f t="shared" si="1"/>
        <v>12487.988665099927</v>
      </c>
      <c r="F6" s="71"/>
      <c r="G6" s="71"/>
      <c r="H6" s="71"/>
      <c r="I6" s="71"/>
      <c r="J6" s="71"/>
      <c r="K6" s="71"/>
    </row>
    <row r="7" spans="2:26" ht="14.4" customHeight="1" x14ac:dyDescent="0.3">
      <c r="B7" s="12">
        <v>21</v>
      </c>
      <c r="C7" s="12">
        <f t="shared" si="0"/>
        <v>294.14999999999998</v>
      </c>
      <c r="D7" s="13">
        <f t="shared" si="1"/>
        <v>11939.014873922493</v>
      </c>
      <c r="F7" s="10"/>
      <c r="G7" s="10"/>
      <c r="H7" s="10"/>
      <c r="I7" s="10"/>
      <c r="J7" s="10"/>
      <c r="K7" s="10"/>
    </row>
    <row r="8" spans="2:26" ht="14.4" customHeight="1" x14ac:dyDescent="0.3">
      <c r="B8" s="12">
        <v>22</v>
      </c>
      <c r="C8" s="12">
        <f t="shared" si="0"/>
        <v>295.14999999999998</v>
      </c>
      <c r="D8" s="13">
        <f t="shared" si="1"/>
        <v>11417.185413823972</v>
      </c>
      <c r="L8" s="5"/>
      <c r="M8" s="5"/>
      <c r="N8" s="5"/>
      <c r="O8" s="5"/>
      <c r="P8" s="5"/>
    </row>
    <row r="9" spans="2:26" ht="14.4" customHeight="1" x14ac:dyDescent="0.3">
      <c r="B9" s="12">
        <v>23</v>
      </c>
      <c r="C9" s="12">
        <f t="shared" si="0"/>
        <v>296.14999999999998</v>
      </c>
      <c r="D9" s="13">
        <f t="shared" si="1"/>
        <v>10921.020224034299</v>
      </c>
      <c r="L9" s="5"/>
      <c r="M9" s="5"/>
      <c r="N9" s="5"/>
      <c r="O9" s="5"/>
      <c r="P9" s="5"/>
      <c r="S9" s="44"/>
      <c r="T9" s="44"/>
      <c r="U9" s="44"/>
      <c r="V9" s="44"/>
      <c r="W9" s="44"/>
      <c r="X9" s="45"/>
      <c r="Y9" s="46"/>
      <c r="Z9" s="46"/>
    </row>
    <row r="10" spans="2:26" ht="15" customHeight="1" x14ac:dyDescent="0.3">
      <c r="B10" s="12">
        <v>24</v>
      </c>
      <c r="C10" s="12">
        <f t="shared" si="0"/>
        <v>297.14999999999998</v>
      </c>
      <c r="D10" s="13">
        <f t="shared" si="1"/>
        <v>10449.127025501353</v>
      </c>
      <c r="S10" s="44"/>
      <c r="T10" s="44"/>
      <c r="U10" s="44"/>
      <c r="V10" s="44"/>
      <c r="W10" s="44"/>
      <c r="X10" s="46"/>
      <c r="Y10" s="46"/>
      <c r="Z10" s="46"/>
    </row>
    <row r="11" spans="2:26" x14ac:dyDescent="0.3">
      <c r="B11" s="12">
        <v>25</v>
      </c>
      <c r="C11" s="12">
        <f t="shared" si="0"/>
        <v>298.14999999999998</v>
      </c>
      <c r="D11" s="13">
        <f t="shared" si="1"/>
        <v>10000.195715113117</v>
      </c>
      <c r="X11" s="47"/>
    </row>
    <row r="12" spans="2:26" x14ac:dyDescent="0.3">
      <c r="B12" s="12">
        <v>26</v>
      </c>
      <c r="C12" s="12">
        <f t="shared" si="0"/>
        <v>299.14999999999998</v>
      </c>
      <c r="D12" s="13">
        <f t="shared" si="1"/>
        <v>9572.993142340405</v>
      </c>
      <c r="X12" s="47"/>
    </row>
    <row r="13" spans="2:26" x14ac:dyDescent="0.3">
      <c r="B13" s="12">
        <v>27</v>
      </c>
      <c r="C13" s="12">
        <f t="shared" si="0"/>
        <v>300.14999999999998</v>
      </c>
      <c r="D13" s="13">
        <f t="shared" si="1"/>
        <v>9166.3582406080532</v>
      </c>
    </row>
    <row r="14" spans="2:26" x14ac:dyDescent="0.3">
      <c r="B14" s="12">
        <v>28</v>
      </c>
      <c r="C14" s="12">
        <f t="shared" si="0"/>
        <v>301.14999999999998</v>
      </c>
      <c r="D14" s="13">
        <f t="shared" si="1"/>
        <v>8779.197487819154</v>
      </c>
    </row>
    <row r="15" spans="2:26" x14ac:dyDescent="0.3">
      <c r="B15" s="12">
        <v>29</v>
      </c>
      <c r="C15" s="12">
        <f t="shared" si="0"/>
        <v>302.14999999999998</v>
      </c>
      <c r="D15" s="13">
        <f t="shared" si="1"/>
        <v>8410.4806724050177</v>
      </c>
    </row>
    <row r="16" spans="2:26" x14ac:dyDescent="0.3">
      <c r="B16" s="12">
        <v>30</v>
      </c>
      <c r="C16" s="12">
        <f t="shared" si="0"/>
        <v>303.14999999999998</v>
      </c>
      <c r="D16" s="13">
        <f t="shared" si="1"/>
        <v>8059.2369430641656</v>
      </c>
    </row>
    <row r="17" spans="2:16" x14ac:dyDescent="0.3">
      <c r="B17" s="12">
        <v>31</v>
      </c>
      <c r="C17" s="12">
        <f t="shared" si="0"/>
        <v>304.14999999999998</v>
      </c>
      <c r="D17" s="13">
        <f t="shared" si="1"/>
        <v>7724.5511220030639</v>
      </c>
    </row>
    <row r="18" spans="2:16" x14ac:dyDescent="0.3">
      <c r="B18" s="12">
        <v>32</v>
      </c>
      <c r="C18" s="12">
        <f t="shared" si="0"/>
        <v>305.14999999999998</v>
      </c>
      <c r="D18" s="13">
        <f t="shared" si="1"/>
        <v>7405.5602630081503</v>
      </c>
    </row>
    <row r="19" spans="2:16" x14ac:dyDescent="0.3">
      <c r="B19" s="12">
        <v>33</v>
      </c>
      <c r="C19" s="12">
        <f t="shared" si="0"/>
        <v>306.14999999999998</v>
      </c>
      <c r="D19" s="13">
        <f t="shared" si="1"/>
        <v>7101.4504370770255</v>
      </c>
    </row>
    <row r="20" spans="2:16" x14ac:dyDescent="0.3">
      <c r="B20" s="12">
        <v>34</v>
      </c>
      <c r="C20" s="12">
        <f t="shared" si="0"/>
        <v>307.14999999999998</v>
      </c>
      <c r="D20" s="13">
        <f t="shared" si="1"/>
        <v>6811.4537296239432</v>
      </c>
    </row>
    <row r="21" spans="2:16" x14ac:dyDescent="0.3">
      <c r="B21" s="12">
        <v>35</v>
      </c>
      <c r="C21" s="12">
        <f t="shared" si="0"/>
        <v>308.14999999999998</v>
      </c>
      <c r="D21" s="13">
        <f t="shared" si="1"/>
        <v>6534.8454344615147</v>
      </c>
    </row>
    <row r="22" spans="2:16" x14ac:dyDescent="0.3">
      <c r="B22" s="12">
        <v>36</v>
      </c>
      <c r="C22" s="12">
        <f t="shared" si="0"/>
        <v>309.14999999999998</v>
      </c>
      <c r="D22" s="13">
        <f t="shared" si="1"/>
        <v>6270.9414308545056</v>
      </c>
    </row>
    <row r="23" spans="2:16" x14ac:dyDescent="0.3">
      <c r="B23" s="12">
        <v>37</v>
      </c>
      <c r="C23" s="12">
        <f t="shared" si="0"/>
        <v>310.14999999999998</v>
      </c>
      <c r="D23" s="13">
        <f t="shared" si="1"/>
        <v>6019.0957309503938</v>
      </c>
    </row>
    <row r="26" spans="2:16" ht="15" thickBot="1" x14ac:dyDescent="0.35"/>
    <row r="27" spans="2:16" x14ac:dyDescent="0.3">
      <c r="B27" s="18" t="s">
        <v>3</v>
      </c>
      <c r="C27" s="18" t="s">
        <v>30</v>
      </c>
      <c r="D27" s="18" t="s">
        <v>4</v>
      </c>
    </row>
    <row r="28" spans="2:16" x14ac:dyDescent="0.3">
      <c r="B28" s="12">
        <v>17</v>
      </c>
      <c r="C28" s="48">
        <f>273.15 + B28</f>
        <v>290.14999999999998</v>
      </c>
      <c r="D28" s="49">
        <f>29646*EXP(-0.043*B28)</f>
        <v>14272.394387250371</v>
      </c>
    </row>
    <row r="29" spans="2:16" ht="15" customHeight="1" x14ac:dyDescent="0.3">
      <c r="B29" s="48">
        <v>18</v>
      </c>
      <c r="C29" s="48">
        <f t="shared" ref="C29:C48" si="2">273.15 + B29</f>
        <v>291.14999999999998</v>
      </c>
      <c r="D29" s="49">
        <f t="shared" ref="D29:D48" si="3">29646*EXP(-0.043*B29)</f>
        <v>13671.689147075889</v>
      </c>
    </row>
    <row r="30" spans="2:16" ht="15" customHeight="1" x14ac:dyDescent="0.3">
      <c r="B30" s="12">
        <v>19</v>
      </c>
      <c r="C30" s="48">
        <f t="shared" si="2"/>
        <v>292.14999999999998</v>
      </c>
      <c r="D30" s="49">
        <f t="shared" si="3"/>
        <v>13096.266755439801</v>
      </c>
    </row>
    <row r="31" spans="2:16" x14ac:dyDescent="0.3">
      <c r="B31" s="48">
        <v>20</v>
      </c>
      <c r="C31" s="48">
        <f t="shared" si="2"/>
        <v>293.14999999999998</v>
      </c>
      <c r="D31" s="49">
        <f t="shared" si="3"/>
        <v>12545.063092391983</v>
      </c>
      <c r="I31" s="64" t="s">
        <v>6</v>
      </c>
      <c r="J31" s="64"/>
      <c r="K31" s="64"/>
      <c r="L31" s="64"/>
      <c r="M31" s="65"/>
      <c r="N31" s="66" t="s">
        <v>24</v>
      </c>
      <c r="O31" s="67"/>
      <c r="P31" s="67"/>
    </row>
    <row r="32" spans="2:16" x14ac:dyDescent="0.3">
      <c r="B32" s="12">
        <v>21</v>
      </c>
      <c r="C32" s="48">
        <f t="shared" si="2"/>
        <v>294.14999999999998</v>
      </c>
      <c r="D32" s="49">
        <f t="shared" si="3"/>
        <v>12017.058825311806</v>
      </c>
      <c r="I32" s="64"/>
      <c r="J32" s="64"/>
      <c r="K32" s="64"/>
      <c r="L32" s="64"/>
      <c r="M32" s="65"/>
      <c r="N32" s="67"/>
      <c r="O32" s="67"/>
      <c r="P32" s="67"/>
    </row>
    <row r="33" spans="2:16" x14ac:dyDescent="0.3">
      <c r="B33" s="48">
        <v>22</v>
      </c>
      <c r="C33" s="48">
        <f t="shared" si="2"/>
        <v>295.14999999999998</v>
      </c>
      <c r="D33" s="49">
        <f t="shared" si="3"/>
        <v>11511.277523871711</v>
      </c>
      <c r="N33" s="11" t="s">
        <v>7</v>
      </c>
      <c r="O33" s="62" t="s">
        <v>8</v>
      </c>
      <c r="P33" s="63"/>
    </row>
    <row r="34" spans="2:16" x14ac:dyDescent="0.3">
      <c r="B34" s="12">
        <v>23</v>
      </c>
      <c r="C34" s="48">
        <f t="shared" si="2"/>
        <v>296.14999999999998</v>
      </c>
      <c r="D34" s="49">
        <f t="shared" si="3"/>
        <v>11026.783854339317</v>
      </c>
      <c r="N34" s="11" t="s">
        <v>9</v>
      </c>
      <c r="O34" s="6" t="s">
        <v>10</v>
      </c>
      <c r="P34" s="6"/>
    </row>
    <row r="35" spans="2:16" x14ac:dyDescent="0.3">
      <c r="B35" s="48">
        <v>24</v>
      </c>
      <c r="C35" s="48">
        <f t="shared" si="2"/>
        <v>297.14999999999998</v>
      </c>
      <c r="D35" s="49">
        <f t="shared" si="3"/>
        <v>10562.681849878865</v>
      </c>
    </row>
    <row r="36" spans="2:16" x14ac:dyDescent="0.3">
      <c r="B36" s="12">
        <v>25</v>
      </c>
      <c r="C36" s="48">
        <f t="shared" si="2"/>
        <v>298.14999999999998</v>
      </c>
      <c r="D36" s="49">
        <f t="shared" si="3"/>
        <v>10118.113253653259</v>
      </c>
    </row>
    <row r="37" spans="2:16" x14ac:dyDescent="0.3">
      <c r="B37" s="48">
        <v>26</v>
      </c>
      <c r="C37" s="48">
        <f t="shared" si="2"/>
        <v>299.14999999999998</v>
      </c>
      <c r="D37" s="49">
        <f t="shared" si="3"/>
        <v>9692.2559316626412</v>
      </c>
    </row>
    <row r="38" spans="2:16" x14ac:dyDescent="0.3">
      <c r="B38" s="12">
        <v>27</v>
      </c>
      <c r="C38" s="48">
        <f t="shared" si="2"/>
        <v>300.14999999999998</v>
      </c>
      <c r="D38" s="49">
        <f t="shared" si="3"/>
        <v>9284.3223523843844</v>
      </c>
    </row>
    <row r="39" spans="2:16" x14ac:dyDescent="0.3">
      <c r="B39" s="48">
        <v>28</v>
      </c>
      <c r="C39" s="48">
        <f t="shared" si="2"/>
        <v>301.14999999999998</v>
      </c>
      <c r="D39" s="49">
        <f t="shared" si="3"/>
        <v>8893.5581304029274</v>
      </c>
    </row>
    <row r="40" spans="2:16" x14ac:dyDescent="0.3">
      <c r="B40" s="12">
        <v>29</v>
      </c>
      <c r="C40" s="48">
        <f t="shared" si="2"/>
        <v>302.14999999999998</v>
      </c>
      <c r="D40" s="49">
        <f t="shared" si="3"/>
        <v>8519.2406313362117</v>
      </c>
    </row>
    <row r="41" spans="2:16" x14ac:dyDescent="0.3">
      <c r="B41" s="48">
        <v>30</v>
      </c>
      <c r="C41" s="48">
        <f t="shared" si="2"/>
        <v>303.14999999999998</v>
      </c>
      <c r="D41" s="49">
        <f t="shared" si="3"/>
        <v>8160.6776354787989</v>
      </c>
    </row>
    <row r="42" spans="2:16" x14ac:dyDescent="0.3">
      <c r="B42" s="12">
        <v>31</v>
      </c>
      <c r="C42" s="48">
        <f t="shared" si="2"/>
        <v>304.14999999999998</v>
      </c>
      <c r="D42" s="49">
        <f t="shared" si="3"/>
        <v>7817.206057690425</v>
      </c>
    </row>
    <row r="43" spans="2:16" ht="15" customHeight="1" x14ac:dyDescent="0.3">
      <c r="B43" s="48">
        <v>32</v>
      </c>
      <c r="C43" s="48">
        <f t="shared" si="2"/>
        <v>305.14999999999998</v>
      </c>
      <c r="D43" s="49">
        <f t="shared" si="3"/>
        <v>7488.1907211626485</v>
      </c>
      <c r="F43" s="44"/>
      <c r="G43" s="44"/>
      <c r="H43" s="44"/>
      <c r="I43" s="44"/>
      <c r="J43" s="44"/>
      <c r="K43" s="45"/>
      <c r="L43" s="46"/>
      <c r="M43" s="46"/>
    </row>
    <row r="44" spans="2:16" ht="15" customHeight="1" x14ac:dyDescent="0.3">
      <c r="B44" s="12">
        <v>33</v>
      </c>
      <c r="C44" s="48">
        <f t="shared" si="2"/>
        <v>306.14999999999998</v>
      </c>
      <c r="D44" s="49">
        <f t="shared" si="3"/>
        <v>7173.0231827959533</v>
      </c>
      <c r="F44" s="44"/>
      <c r="G44" s="44"/>
      <c r="H44" s="44"/>
      <c r="I44" s="44"/>
      <c r="J44" s="44"/>
      <c r="K44" s="46"/>
      <c r="L44" s="46"/>
      <c r="M44" s="46"/>
    </row>
    <row r="45" spans="2:16" x14ac:dyDescent="0.3">
      <c r="B45" s="48">
        <v>34</v>
      </c>
      <c r="C45" s="48">
        <f t="shared" si="2"/>
        <v>307.14999999999998</v>
      </c>
      <c r="D45" s="49">
        <f t="shared" si="3"/>
        <v>6871.1206080151069</v>
      </c>
      <c r="K45" s="47"/>
    </row>
    <row r="46" spans="2:16" x14ac:dyDescent="0.3">
      <c r="B46" s="12">
        <v>35</v>
      </c>
      <c r="C46" s="48">
        <f t="shared" si="2"/>
        <v>308.14999999999998</v>
      </c>
      <c r="D46" s="49">
        <f t="shared" si="3"/>
        <v>6581.9246929419733</v>
      </c>
      <c r="K46" s="47"/>
    </row>
    <row r="47" spans="2:16" x14ac:dyDescent="0.3">
      <c r="B47" s="48">
        <v>36</v>
      </c>
      <c r="C47" s="48">
        <f t="shared" si="2"/>
        <v>309.14999999999998</v>
      </c>
      <c r="D47" s="49">
        <f t="shared" si="3"/>
        <v>6304.9006319325599</v>
      </c>
    </row>
    <row r="48" spans="2:16" x14ac:dyDescent="0.3">
      <c r="B48" s="12">
        <v>37</v>
      </c>
      <c r="C48" s="48">
        <f t="shared" si="2"/>
        <v>310.14999999999998</v>
      </c>
      <c r="D48" s="49">
        <f t="shared" si="3"/>
        <v>6039.5361285690178</v>
      </c>
    </row>
    <row r="50" spans="2:13" x14ac:dyDescent="0.3">
      <c r="B50" s="69" t="s">
        <v>0</v>
      </c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</row>
    <row r="51" spans="2:13" ht="26.4" x14ac:dyDescent="0.3">
      <c r="B51" s="3" t="s">
        <v>11</v>
      </c>
      <c r="C51" s="3" t="s">
        <v>12</v>
      </c>
      <c r="D51" s="3" t="s">
        <v>13</v>
      </c>
      <c r="E51" s="3" t="s">
        <v>14</v>
      </c>
      <c r="F51" s="3" t="s">
        <v>15</v>
      </c>
      <c r="G51" s="3" t="s">
        <v>16</v>
      </c>
      <c r="H51" s="3" t="s">
        <v>17</v>
      </c>
      <c r="I51" s="3" t="s">
        <v>18</v>
      </c>
      <c r="J51" s="3" t="s">
        <v>19</v>
      </c>
      <c r="K51" s="3" t="s">
        <v>20</v>
      </c>
      <c r="L51" s="3" t="s">
        <v>21</v>
      </c>
      <c r="M51" s="3" t="s">
        <v>22</v>
      </c>
    </row>
    <row r="52" spans="2:13" x14ac:dyDescent="0.3">
      <c r="B52" s="9">
        <v>9</v>
      </c>
      <c r="C52" s="9">
        <v>3977</v>
      </c>
      <c r="D52" s="9" t="s">
        <v>23</v>
      </c>
      <c r="E52" s="3">
        <v>0.75</v>
      </c>
      <c r="F52" s="3">
        <v>-14.633699999999999</v>
      </c>
      <c r="G52" s="3">
        <v>4791.8419999999996</v>
      </c>
      <c r="H52" s="9">
        <v>-115334</v>
      </c>
      <c r="I52" s="9">
        <v>-3730535</v>
      </c>
      <c r="J52" s="9">
        <v>3.354016E-3</v>
      </c>
      <c r="K52" s="4">
        <v>2.5698499999999999E-4</v>
      </c>
      <c r="L52" s="4">
        <v>2.6201309999999999E-6</v>
      </c>
      <c r="M52" s="4">
        <v>6.3830910000000002E-8</v>
      </c>
    </row>
  </sheetData>
  <mergeCells count="7">
    <mergeCell ref="O33:P33"/>
    <mergeCell ref="I31:M32"/>
    <mergeCell ref="N31:P32"/>
    <mergeCell ref="B1:D1"/>
    <mergeCell ref="B50:M50"/>
    <mergeCell ref="F2:K3"/>
    <mergeCell ref="F4:K6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07FE4-7202-4411-8D1E-B01DE6900598}">
  <sheetPr>
    <tabColor theme="1" tint="0.249977111117893"/>
  </sheetPr>
  <dimension ref="A1:T64"/>
  <sheetViews>
    <sheetView topLeftCell="A7" zoomScale="52" zoomScaleNormal="175" workbookViewId="0">
      <selection activeCell="C54" sqref="C54"/>
    </sheetView>
  </sheetViews>
  <sheetFormatPr defaultRowHeight="14.4" x14ac:dyDescent="0.3"/>
  <cols>
    <col min="1" max="1" width="13.33203125" bestFit="1" customWidth="1"/>
    <col min="2" max="2" width="16.6640625" customWidth="1"/>
  </cols>
  <sheetData>
    <row r="1" spans="1:2" x14ac:dyDescent="0.3">
      <c r="A1" s="18" t="s">
        <v>54</v>
      </c>
      <c r="B1" s="18" t="s">
        <v>25</v>
      </c>
    </row>
    <row r="2" spans="1:2" x14ac:dyDescent="0.3">
      <c r="A2" s="20">
        <v>17</v>
      </c>
      <c r="B2" s="27">
        <v>1.79781445859462E-3</v>
      </c>
    </row>
    <row r="3" spans="1:2" x14ac:dyDescent="0.3">
      <c r="A3" s="20">
        <v>18</v>
      </c>
      <c r="B3" s="27">
        <v>-0.15502556569071199</v>
      </c>
    </row>
    <row r="4" spans="1:2" x14ac:dyDescent="0.3">
      <c r="A4" s="20">
        <v>19</v>
      </c>
      <c r="B4" s="27">
        <v>-0.31289824545072298</v>
      </c>
    </row>
    <row r="5" spans="1:2" x14ac:dyDescent="0.3">
      <c r="A5" s="20">
        <v>20</v>
      </c>
      <c r="B5" s="27">
        <v>-0.47168347901107999</v>
      </c>
    </row>
    <row r="6" spans="1:2" x14ac:dyDescent="0.3">
      <c r="A6" s="20">
        <v>21</v>
      </c>
      <c r="B6" s="27">
        <v>-0.63124124006567695</v>
      </c>
    </row>
    <row r="7" spans="1:2" x14ac:dyDescent="0.3">
      <c r="A7" s="20">
        <v>22</v>
      </c>
      <c r="B7" s="27">
        <v>-0.79142870283640598</v>
      </c>
    </row>
    <row r="8" spans="1:2" x14ac:dyDescent="0.3">
      <c r="A8" s="20">
        <v>23</v>
      </c>
      <c r="B8" s="27">
        <v>-0.95210074448302895</v>
      </c>
    </row>
    <row r="9" spans="1:2" x14ac:dyDescent="0.3">
      <c r="A9" s="20">
        <v>24</v>
      </c>
      <c r="B9" s="27">
        <v>-1.1131104652203301</v>
      </c>
    </row>
    <row r="10" spans="1:2" x14ac:dyDescent="0.3">
      <c r="A10" s="20">
        <v>25</v>
      </c>
      <c r="B10" s="27">
        <v>-1.2743097222309101</v>
      </c>
    </row>
    <row r="11" spans="1:2" x14ac:dyDescent="0.3">
      <c r="A11" s="20">
        <v>26</v>
      </c>
      <c r="B11" s="27">
        <v>-1.4355496732788899</v>
      </c>
    </row>
    <row r="12" spans="1:2" x14ac:dyDescent="0.3">
      <c r="A12" s="20">
        <v>27</v>
      </c>
      <c r="B12" s="27">
        <v>-1.59668132580018</v>
      </c>
    </row>
    <row r="13" spans="1:2" x14ac:dyDescent="0.3">
      <c r="A13" s="20">
        <v>28</v>
      </c>
      <c r="B13" s="27">
        <v>-1.7575560871715601</v>
      </c>
    </row>
    <row r="14" spans="1:2" x14ac:dyDescent="0.3">
      <c r="A14" s="20">
        <v>29</v>
      </c>
      <c r="B14" s="27">
        <v>-1.9180263118449099</v>
      </c>
    </row>
    <row r="15" spans="1:2" x14ac:dyDescent="0.3">
      <c r="A15" s="20">
        <v>30</v>
      </c>
      <c r="B15" s="27">
        <v>-2.0779458410752198</v>
      </c>
    </row>
    <row r="16" spans="1:2" x14ac:dyDescent="0.3">
      <c r="A16" s="20">
        <v>31</v>
      </c>
      <c r="B16" s="27">
        <v>-2.23717053106978</v>
      </c>
    </row>
    <row r="17" spans="1:20" x14ac:dyDescent="0.3">
      <c r="A17" s="20">
        <v>32</v>
      </c>
      <c r="B17" s="27">
        <v>-2.3955587655407098</v>
      </c>
    </row>
    <row r="18" spans="1:20" x14ac:dyDescent="0.3">
      <c r="A18" s="20">
        <v>33</v>
      </c>
      <c r="B18" s="27">
        <v>-2.5529719488489402</v>
      </c>
    </row>
    <row r="19" spans="1:20" x14ac:dyDescent="0.3">
      <c r="A19" s="20">
        <v>34</v>
      </c>
      <c r="B19" s="27">
        <v>-2.7092749761814199</v>
      </c>
    </row>
    <row r="20" spans="1:20" x14ac:dyDescent="0.3">
      <c r="A20" s="20">
        <v>35</v>
      </c>
      <c r="B20" s="27">
        <v>-2.8643366775007602</v>
      </c>
    </row>
    <row r="21" spans="1:20" x14ac:dyDescent="0.3">
      <c r="A21" s="20">
        <v>36</v>
      </c>
      <c r="B21" s="27">
        <v>-3.0180302323394299</v>
      </c>
    </row>
    <row r="22" spans="1:20" x14ac:dyDescent="0.3">
      <c r="A22" s="20">
        <v>37</v>
      </c>
      <c r="B22" s="27">
        <v>-3.1702335528754002</v>
      </c>
    </row>
    <row r="23" spans="1:20" x14ac:dyDescent="0.3">
      <c r="B23" s="14"/>
    </row>
    <row r="27" spans="1:20" ht="15" thickBot="1" x14ac:dyDescent="0.35">
      <c r="S27" s="72" t="s">
        <v>75</v>
      </c>
      <c r="T27" s="72"/>
    </row>
    <row r="28" spans="1:20" ht="39.6" x14ac:dyDescent="0.3">
      <c r="A28" s="18" t="s">
        <v>54</v>
      </c>
      <c r="B28" s="18" t="s">
        <v>26</v>
      </c>
      <c r="S28" s="18" t="s">
        <v>54</v>
      </c>
      <c r="T28" s="18" t="s">
        <v>26</v>
      </c>
    </row>
    <row r="29" spans="1:20" x14ac:dyDescent="0.3">
      <c r="A29" s="13">
        <f>(B29-2.7124)/-0.1594</f>
        <v>23.823086574654958</v>
      </c>
      <c r="B29" s="26">
        <v>-1.085</v>
      </c>
      <c r="S29" s="13">
        <v>23.82</v>
      </c>
      <c r="T29" s="26" t="s">
        <v>74</v>
      </c>
    </row>
    <row r="30" spans="1:20" x14ac:dyDescent="0.3">
      <c r="A30" s="13">
        <f t="shared" ref="A30:A39" si="0">(B30-2.7124)/-0.1594</f>
        <v>24.544542032622335</v>
      </c>
      <c r="B30" s="26">
        <v>-1.2</v>
      </c>
      <c r="S30" s="13">
        <v>24.54</v>
      </c>
      <c r="T30" s="26">
        <v>1.2</v>
      </c>
    </row>
    <row r="31" spans="1:20" x14ac:dyDescent="0.3">
      <c r="A31" s="13">
        <f t="shared" si="0"/>
        <v>26.119196988707657</v>
      </c>
      <c r="B31" s="26">
        <v>-1.4510000000000001</v>
      </c>
      <c r="S31" s="13">
        <v>26.12</v>
      </c>
      <c r="T31" s="26">
        <v>1.4510000000000001</v>
      </c>
    </row>
    <row r="32" spans="1:20" x14ac:dyDescent="0.3">
      <c r="A32" s="13">
        <f t="shared" si="0"/>
        <v>27.480552070263489</v>
      </c>
      <c r="B32" s="26">
        <v>-1.6679999999999999</v>
      </c>
      <c r="S32" s="13">
        <v>27.48</v>
      </c>
      <c r="T32" s="26">
        <v>1.6679999999999999</v>
      </c>
    </row>
    <row r="33" spans="1:20" x14ac:dyDescent="0.3">
      <c r="A33" s="13">
        <f t="shared" si="0"/>
        <v>29.067754077791722</v>
      </c>
      <c r="B33" s="26">
        <v>-1.921</v>
      </c>
      <c r="S33" s="13">
        <v>29.07</v>
      </c>
      <c r="T33" s="26">
        <v>1.921</v>
      </c>
    </row>
    <row r="34" spans="1:20" x14ac:dyDescent="0.3">
      <c r="A34" s="13">
        <f t="shared" si="0"/>
        <v>30.573400250941031</v>
      </c>
      <c r="B34" s="26">
        <v>-2.161</v>
      </c>
      <c r="S34" s="13">
        <v>30.57</v>
      </c>
      <c r="T34" s="26">
        <v>2.161</v>
      </c>
    </row>
    <row r="35" spans="1:20" x14ac:dyDescent="0.3">
      <c r="A35" s="13">
        <f t="shared" si="0"/>
        <v>31.997490589711422</v>
      </c>
      <c r="B35" s="26">
        <v>-2.3879999999999999</v>
      </c>
      <c r="S35" s="13">
        <v>32</v>
      </c>
      <c r="T35" s="26">
        <v>2.3879999999999999</v>
      </c>
    </row>
    <row r="36" spans="1:20" x14ac:dyDescent="0.3">
      <c r="A36" s="13">
        <f t="shared" si="0"/>
        <v>32.850690087829364</v>
      </c>
      <c r="B36" s="26">
        <v>-2.524</v>
      </c>
      <c r="S36" s="13">
        <v>32.85</v>
      </c>
      <c r="T36" s="26">
        <v>2.524</v>
      </c>
    </row>
    <row r="37" spans="1:20" x14ac:dyDescent="0.3">
      <c r="A37" s="13">
        <f t="shared" si="0"/>
        <v>33.28356336260979</v>
      </c>
      <c r="B37" s="26">
        <v>-2.593</v>
      </c>
      <c r="S37" s="13">
        <v>33.28</v>
      </c>
      <c r="T37" s="26">
        <v>2.593</v>
      </c>
    </row>
    <row r="38" spans="1:20" x14ac:dyDescent="0.3">
      <c r="A38" s="13">
        <f t="shared" si="0"/>
        <v>34.707653701380181</v>
      </c>
      <c r="B38" s="26">
        <v>-2.82</v>
      </c>
      <c r="S38" s="13">
        <v>34.71</v>
      </c>
      <c r="T38" s="26">
        <v>2.82</v>
      </c>
    </row>
    <row r="39" spans="1:20" x14ac:dyDescent="0.3">
      <c r="A39" s="13">
        <f t="shared" si="0"/>
        <v>36.690087829360102</v>
      </c>
      <c r="B39" s="26">
        <v>-3.1360000000000001</v>
      </c>
      <c r="S39" s="13">
        <v>36.69</v>
      </c>
      <c r="T39" s="26">
        <v>3.1360000000000001</v>
      </c>
    </row>
    <row r="42" spans="1:20" ht="15" thickBot="1" x14ac:dyDescent="0.35"/>
    <row r="43" spans="1:20" x14ac:dyDescent="0.3">
      <c r="A43" s="18" t="s">
        <v>54</v>
      </c>
      <c r="B43" s="18" t="s">
        <v>27</v>
      </c>
    </row>
    <row r="44" spans="1:20" x14ac:dyDescent="0.3">
      <c r="A44" s="12">
        <v>17</v>
      </c>
      <c r="B44" s="26">
        <f>(-0.1585*A44+2.695)</f>
        <v>4.9999999999972289E-4</v>
      </c>
    </row>
    <row r="45" spans="1:20" x14ac:dyDescent="0.3">
      <c r="A45" s="12">
        <v>18</v>
      </c>
      <c r="B45" s="26">
        <f t="shared" ref="B45:B64" si="1">(-0.1585*A45+2.695)</f>
        <v>-0.15800000000000036</v>
      </c>
    </row>
    <row r="46" spans="1:20" x14ac:dyDescent="0.3">
      <c r="A46" s="12">
        <v>19</v>
      </c>
      <c r="B46" s="26">
        <f t="shared" si="1"/>
        <v>-0.3165</v>
      </c>
    </row>
    <row r="47" spans="1:20" x14ac:dyDescent="0.3">
      <c r="A47" s="12">
        <v>20</v>
      </c>
      <c r="B47" s="26">
        <f t="shared" si="1"/>
        <v>-0.47500000000000009</v>
      </c>
    </row>
    <row r="48" spans="1:20" x14ac:dyDescent="0.3">
      <c r="A48" s="12">
        <v>21</v>
      </c>
      <c r="B48" s="26">
        <f t="shared" si="1"/>
        <v>-0.63350000000000017</v>
      </c>
    </row>
    <row r="49" spans="1:2" x14ac:dyDescent="0.3">
      <c r="A49" s="12">
        <v>22</v>
      </c>
      <c r="B49" s="26">
        <f>(-0.1585*A49+2.695)</f>
        <v>-0.79200000000000026</v>
      </c>
    </row>
    <row r="50" spans="1:2" x14ac:dyDescent="0.3">
      <c r="A50" s="12">
        <v>23</v>
      </c>
      <c r="B50" s="26">
        <f t="shared" si="1"/>
        <v>-0.95050000000000034</v>
      </c>
    </row>
    <row r="51" spans="1:2" x14ac:dyDescent="0.3">
      <c r="A51" s="12">
        <v>24</v>
      </c>
      <c r="B51" s="26">
        <f t="shared" si="1"/>
        <v>-1.1090000000000004</v>
      </c>
    </row>
    <row r="52" spans="1:2" x14ac:dyDescent="0.3">
      <c r="A52" s="12">
        <v>25</v>
      </c>
      <c r="B52" s="26">
        <f t="shared" si="1"/>
        <v>-1.2675000000000001</v>
      </c>
    </row>
    <row r="53" spans="1:2" x14ac:dyDescent="0.3">
      <c r="A53" s="12">
        <v>26</v>
      </c>
      <c r="B53" s="26">
        <f t="shared" si="1"/>
        <v>-1.4260000000000006</v>
      </c>
    </row>
    <row r="54" spans="1:2" x14ac:dyDescent="0.3">
      <c r="A54" s="12">
        <v>27</v>
      </c>
      <c r="B54" s="26">
        <f t="shared" si="1"/>
        <v>-1.5844999999999998</v>
      </c>
    </row>
    <row r="55" spans="1:2" x14ac:dyDescent="0.3">
      <c r="A55" s="12">
        <v>28</v>
      </c>
      <c r="B55" s="26">
        <f t="shared" si="1"/>
        <v>-1.7429999999999999</v>
      </c>
    </row>
    <row r="56" spans="1:2" x14ac:dyDescent="0.3">
      <c r="A56" s="12">
        <v>29</v>
      </c>
      <c r="B56" s="26">
        <f t="shared" si="1"/>
        <v>-1.9015</v>
      </c>
    </row>
    <row r="57" spans="1:2" x14ac:dyDescent="0.3">
      <c r="A57" s="12">
        <v>30</v>
      </c>
      <c r="B57" s="26">
        <f t="shared" si="1"/>
        <v>-2.06</v>
      </c>
    </row>
    <row r="58" spans="1:2" x14ac:dyDescent="0.3">
      <c r="A58" s="12">
        <v>31</v>
      </c>
      <c r="B58" s="26">
        <f t="shared" si="1"/>
        <v>-2.2185000000000001</v>
      </c>
    </row>
    <row r="59" spans="1:2" x14ac:dyDescent="0.3">
      <c r="A59" s="12">
        <v>32</v>
      </c>
      <c r="B59" s="26">
        <f t="shared" si="1"/>
        <v>-2.3770000000000002</v>
      </c>
    </row>
    <row r="60" spans="1:2" x14ac:dyDescent="0.3">
      <c r="A60" s="12">
        <v>33</v>
      </c>
      <c r="B60" s="26">
        <f t="shared" si="1"/>
        <v>-2.5355000000000003</v>
      </c>
    </row>
    <row r="61" spans="1:2" x14ac:dyDescent="0.3">
      <c r="A61" s="12">
        <v>34</v>
      </c>
      <c r="B61" s="26">
        <f t="shared" si="1"/>
        <v>-2.6940000000000004</v>
      </c>
    </row>
    <row r="62" spans="1:2" x14ac:dyDescent="0.3">
      <c r="A62" s="12">
        <v>35</v>
      </c>
      <c r="B62" s="26">
        <f t="shared" si="1"/>
        <v>-2.8525000000000005</v>
      </c>
    </row>
    <row r="63" spans="1:2" x14ac:dyDescent="0.3">
      <c r="A63" s="12">
        <v>36</v>
      </c>
      <c r="B63" s="26">
        <f t="shared" si="1"/>
        <v>-3.0110000000000006</v>
      </c>
    </row>
    <row r="64" spans="1:2" x14ac:dyDescent="0.3">
      <c r="A64" s="12">
        <v>37</v>
      </c>
      <c r="B64" s="26">
        <f t="shared" si="1"/>
        <v>-3.1695000000000007</v>
      </c>
    </row>
  </sheetData>
  <mergeCells count="1">
    <mergeCell ref="S27:T27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F1C26-3810-4AA9-9B3F-455F7FA0A300}">
  <sheetPr>
    <tabColor theme="1" tint="0.249977111117893"/>
  </sheetPr>
  <dimension ref="A1:O82"/>
  <sheetViews>
    <sheetView topLeftCell="A16" zoomScale="115" zoomScaleNormal="115" workbookViewId="0">
      <selection activeCell="L44" sqref="L44"/>
    </sheetView>
  </sheetViews>
  <sheetFormatPr defaultRowHeight="14.4" x14ac:dyDescent="0.3"/>
  <cols>
    <col min="1" max="1" width="14.6640625" bestFit="1" customWidth="1"/>
    <col min="2" max="2" width="9.6640625" bestFit="1" customWidth="1"/>
    <col min="3" max="3" width="17.33203125" bestFit="1" customWidth="1"/>
    <col min="4" max="4" width="15.6640625" customWidth="1"/>
    <col min="8" max="8" width="11.33203125" bestFit="1" customWidth="1"/>
    <col min="9" max="9" width="14.33203125" bestFit="1" customWidth="1"/>
  </cols>
  <sheetData>
    <row r="1" spans="1:3" x14ac:dyDescent="0.3">
      <c r="A1" s="18" t="s">
        <v>54</v>
      </c>
      <c r="B1" s="18" t="s">
        <v>55</v>
      </c>
      <c r="C1" s="18" t="s">
        <v>56</v>
      </c>
    </row>
    <row r="2" spans="1:3" x14ac:dyDescent="0.3">
      <c r="A2" s="19">
        <v>17</v>
      </c>
      <c r="B2" s="19">
        <f t="shared" ref="B2:B22" si="0" xml:space="preserve"> 29646*EXP(-0.043*A2)</f>
        <v>14272.394387250371</v>
      </c>
      <c r="C2" s="19">
        <v>-3.0619771703239698E-3</v>
      </c>
    </row>
    <row r="3" spans="1:3" x14ac:dyDescent="0.3">
      <c r="A3" s="19">
        <v>18</v>
      </c>
      <c r="B3" s="19">
        <f t="shared" si="0"/>
        <v>13671.689147075889</v>
      </c>
      <c r="C3" s="19">
        <v>0.24471370530702199</v>
      </c>
    </row>
    <row r="4" spans="1:3" x14ac:dyDescent="0.3">
      <c r="A4" s="19">
        <v>19</v>
      </c>
      <c r="B4" s="19">
        <f t="shared" si="0"/>
        <v>13096.266755439801</v>
      </c>
      <c r="C4" s="19">
        <v>0.49414735225929901</v>
      </c>
    </row>
    <row r="5" spans="1:3" x14ac:dyDescent="0.3">
      <c r="A5" s="19">
        <v>20</v>
      </c>
      <c r="B5" s="19">
        <f t="shared" si="0"/>
        <v>12545.063092391983</v>
      </c>
      <c r="C5" s="19">
        <v>0.74502273646700601</v>
      </c>
    </row>
    <row r="6" spans="1:3" x14ac:dyDescent="0.3">
      <c r="A6" s="19">
        <v>21</v>
      </c>
      <c r="B6" s="19">
        <f t="shared" si="0"/>
        <v>12017.058825311806</v>
      </c>
      <c r="C6" s="19">
        <v>0.99711879445882001</v>
      </c>
    </row>
    <row r="7" spans="1:3" x14ac:dyDescent="0.3">
      <c r="A7" s="19">
        <v>22</v>
      </c>
      <c r="B7" s="19">
        <f t="shared" si="0"/>
        <v>11511.277523871711</v>
      </c>
      <c r="C7" s="19">
        <v>1.2502096926369499</v>
      </c>
    </row>
    <row r="8" spans="1:3" x14ac:dyDescent="0.3">
      <c r="A8" s="19">
        <v>23</v>
      </c>
      <c r="B8" s="19">
        <f t="shared" si="0"/>
        <v>11026.783854339317</v>
      </c>
      <c r="C8" s="19">
        <v>1.5040661504966299</v>
      </c>
    </row>
    <row r="9" spans="1:3" x14ac:dyDescent="0.3">
      <c r="A9" s="19">
        <v>24</v>
      </c>
      <c r="B9" s="19">
        <f t="shared" si="0"/>
        <v>10562.681849878865</v>
      </c>
      <c r="C9" s="19">
        <v>1.7584562611900201</v>
      </c>
    </row>
    <row r="10" spans="1:3" x14ac:dyDescent="0.3">
      <c r="A10" s="19">
        <v>25</v>
      </c>
      <c r="B10" s="19">
        <f t="shared" si="0"/>
        <v>10118.113253653259</v>
      </c>
      <c r="C10" s="19">
        <v>2.0131457141771998</v>
      </c>
    </row>
    <row r="11" spans="1:3" x14ac:dyDescent="0.3">
      <c r="A11" s="19">
        <v>26</v>
      </c>
      <c r="B11" s="19">
        <f t="shared" si="0"/>
        <v>9692.2559316626412</v>
      </c>
      <c r="C11" s="19">
        <v>2.2678995931232402</v>
      </c>
    </row>
    <row r="12" spans="1:3" x14ac:dyDescent="0.3">
      <c r="A12" s="19">
        <v>27</v>
      </c>
      <c r="B12" s="19">
        <f t="shared" si="0"/>
        <v>9284.3223523843844</v>
      </c>
      <c r="C12" s="19">
        <v>2.52248224567336</v>
      </c>
    </row>
    <row r="13" spans="1:3" x14ac:dyDescent="0.3">
      <c r="A13" s="19">
        <v>28</v>
      </c>
      <c r="B13" s="19">
        <f t="shared" si="0"/>
        <v>8893.5581304029274</v>
      </c>
      <c r="C13" s="19">
        <v>2.7766591494177799</v>
      </c>
    </row>
    <row r="14" spans="1:3" x14ac:dyDescent="0.3">
      <c r="A14" s="19">
        <v>29</v>
      </c>
      <c r="B14" s="19">
        <f t="shared" si="0"/>
        <v>8519.2406313362117</v>
      </c>
      <c r="C14" s="19">
        <v>3.0301967795916398</v>
      </c>
    </row>
    <row r="15" spans="1:3" x14ac:dyDescent="0.3">
      <c r="A15" s="19">
        <v>30</v>
      </c>
      <c r="B15" s="19">
        <f t="shared" si="0"/>
        <v>8160.6776354787989</v>
      </c>
      <c r="C15" s="19">
        <v>3.28286445956951</v>
      </c>
    </row>
    <row r="16" spans="1:3" x14ac:dyDescent="0.3">
      <c r="A16" s="19">
        <v>31</v>
      </c>
      <c r="B16" s="19">
        <f t="shared" si="0"/>
        <v>7817.206057690425</v>
      </c>
      <c r="C16" s="19">
        <v>3.5344341975650599</v>
      </c>
    </row>
    <row r="17" spans="1:4" x14ac:dyDescent="0.3">
      <c r="A17" s="19">
        <v>32</v>
      </c>
      <c r="B17" s="19">
        <f t="shared" si="0"/>
        <v>7488.1907211626485</v>
      </c>
      <c r="C17" s="19">
        <v>3.7846824936675301</v>
      </c>
    </row>
    <row r="18" spans="1:4" x14ac:dyDescent="0.3">
      <c r="A18" s="19">
        <v>33</v>
      </c>
      <c r="B18" s="19">
        <f t="shared" si="0"/>
        <v>7173.0231827959533</v>
      </c>
      <c r="C18" s="19">
        <v>4.0333901215590604</v>
      </c>
    </row>
    <row r="19" spans="1:4" x14ac:dyDescent="0.3">
      <c r="A19" s="19">
        <v>34</v>
      </c>
      <c r="B19" s="19">
        <f t="shared" si="0"/>
        <v>6871.1206080151069</v>
      </c>
      <c r="C19" s="19">
        <v>4.2803438693623397</v>
      </c>
    </row>
    <row r="20" spans="1:4" x14ac:dyDescent="0.3">
      <c r="A20" s="19">
        <v>35</v>
      </c>
      <c r="B20" s="19">
        <f t="shared" si="0"/>
        <v>6581.9246929419733</v>
      </c>
      <c r="C20" s="19">
        <v>4.5253362430880903</v>
      </c>
    </row>
    <row r="21" spans="1:4" x14ac:dyDescent="0.3">
      <c r="A21" s="19">
        <v>36</v>
      </c>
      <c r="B21" s="19">
        <f t="shared" si="0"/>
        <v>6304.9006319325599</v>
      </c>
      <c r="C21" s="19">
        <v>4.7681672441288301</v>
      </c>
    </row>
    <row r="22" spans="1:4" x14ac:dyDescent="0.3">
      <c r="A22" s="19">
        <v>37</v>
      </c>
      <c r="B22" s="19">
        <f t="shared" si="0"/>
        <v>6039.5361285690178</v>
      </c>
      <c r="C22" s="19">
        <v>5.0086433826787404</v>
      </c>
    </row>
    <row r="26" spans="1:4" ht="15" thickBot="1" x14ac:dyDescent="0.35"/>
    <row r="27" spans="1:4" ht="15" thickBot="1" x14ac:dyDescent="0.35">
      <c r="A27" s="56" t="s">
        <v>69</v>
      </c>
      <c r="B27" s="57"/>
      <c r="C27" s="57"/>
      <c r="D27" s="58"/>
    </row>
    <row r="28" spans="1:4" ht="39.6" x14ac:dyDescent="0.3">
      <c r="A28" s="18" t="s">
        <v>54</v>
      </c>
      <c r="B28" s="18" t="s">
        <v>55</v>
      </c>
      <c r="C28" s="18" t="s">
        <v>67</v>
      </c>
      <c r="D28" s="18" t="s">
        <v>57</v>
      </c>
    </row>
    <row r="29" spans="1:4" x14ac:dyDescent="0.3">
      <c r="A29" s="19">
        <f t="shared" ref="A29:A35" si="1">(LN(B29/29646))/-0.043</f>
        <v>16.93230534361075</v>
      </c>
      <c r="B29" s="19">
        <v>14314</v>
      </c>
      <c r="C29" s="19">
        <v>0.01</v>
      </c>
      <c r="D29" s="19">
        <v>0.06</v>
      </c>
    </row>
    <row r="30" spans="1:4" x14ac:dyDescent="0.3">
      <c r="A30" s="19">
        <f t="shared" si="1"/>
        <v>20.782453165946727</v>
      </c>
      <c r="B30" s="19">
        <v>12130</v>
      </c>
      <c r="C30" s="19">
        <v>0.6</v>
      </c>
      <c r="D30" s="19">
        <v>0.73</v>
      </c>
    </row>
    <row r="31" spans="1:4" x14ac:dyDescent="0.3">
      <c r="A31" s="19">
        <f t="shared" si="1"/>
        <v>22.823060476506893</v>
      </c>
      <c r="B31" s="19">
        <v>11111</v>
      </c>
      <c r="C31" s="19">
        <v>0.93</v>
      </c>
      <c r="D31" s="19">
        <v>1.3</v>
      </c>
    </row>
    <row r="32" spans="1:4" x14ac:dyDescent="0.3">
      <c r="A32" s="19">
        <f t="shared" si="1"/>
        <v>27.723317017568576</v>
      </c>
      <c r="B32" s="19">
        <v>9000</v>
      </c>
      <c r="C32" s="52">
        <v>1.71</v>
      </c>
      <c r="D32" s="19">
        <v>2.61</v>
      </c>
    </row>
    <row r="33" spans="1:15" x14ac:dyDescent="0.3">
      <c r="A33" s="19">
        <f t="shared" si="1"/>
        <v>31.110950486078323</v>
      </c>
      <c r="B33" s="19">
        <v>7780</v>
      </c>
      <c r="C33" s="19">
        <v>2.25</v>
      </c>
      <c r="D33" s="19">
        <v>3.5259999999999998</v>
      </c>
    </row>
    <row r="34" spans="1:15" x14ac:dyDescent="0.3">
      <c r="A34" s="19">
        <f t="shared" si="1"/>
        <v>33.66772056556362</v>
      </c>
      <c r="B34" s="19">
        <v>6970</v>
      </c>
      <c r="C34" s="19">
        <v>2.65</v>
      </c>
      <c r="D34" s="19">
        <v>4.2</v>
      </c>
    </row>
    <row r="35" spans="1:15" x14ac:dyDescent="0.3">
      <c r="A35" s="19">
        <f t="shared" si="1"/>
        <v>37.067622768188976</v>
      </c>
      <c r="B35" s="19">
        <v>6022</v>
      </c>
      <c r="C35" s="19">
        <v>3.2</v>
      </c>
      <c r="D35" s="19">
        <v>4.8899999999999997</v>
      </c>
    </row>
    <row r="40" spans="1:15" x14ac:dyDescent="0.3">
      <c r="A40" s="53" t="s">
        <v>68</v>
      </c>
      <c r="B40" s="53"/>
      <c r="C40" s="53"/>
    </row>
    <row r="41" spans="1:15" x14ac:dyDescent="0.3">
      <c r="A41" s="1" t="s">
        <v>58</v>
      </c>
      <c r="B41" s="1" t="s">
        <v>50</v>
      </c>
      <c r="C41" s="1" t="s">
        <v>53</v>
      </c>
    </row>
    <row r="42" spans="1:15" x14ac:dyDescent="0.3">
      <c r="A42" s="12">
        <v>2</v>
      </c>
      <c r="B42" s="38">
        <v>3.3960000000000001E-3</v>
      </c>
      <c r="C42" s="26">
        <f>20*LOG10(1.58/Tabela3[[#This Row],[ACM]])</f>
        <v>53.353788107650153</v>
      </c>
      <c r="M42" s="30"/>
      <c r="N42" s="30"/>
      <c r="O42" s="30"/>
    </row>
    <row r="43" spans="1:15" x14ac:dyDescent="0.3">
      <c r="A43" s="12">
        <v>2.5</v>
      </c>
      <c r="B43" s="38">
        <v>3.5959999999999998E-3</v>
      </c>
      <c r="C43" s="26">
        <f>20*LOG10(1.58/Tabela3[[#This Row],[ACM]])</f>
        <v>52.85674807786463</v>
      </c>
      <c r="M43" s="31"/>
      <c r="N43" s="31"/>
      <c r="O43" s="31"/>
    </row>
    <row r="44" spans="1:15" x14ac:dyDescent="0.3">
      <c r="A44" s="12">
        <v>3</v>
      </c>
      <c r="B44" s="38">
        <v>3.7959999999999999E-3</v>
      </c>
      <c r="C44" s="26">
        <f>20*LOG10(1.58/Tabela3[[#This Row],[ACM]])</f>
        <v>52.386617663983358</v>
      </c>
      <c r="M44" s="31"/>
      <c r="N44" s="31"/>
      <c r="O44" s="31"/>
    </row>
    <row r="45" spans="1:15" x14ac:dyDescent="0.3">
      <c r="A45" s="12">
        <v>3.5</v>
      </c>
      <c r="B45" s="38">
        <v>3.9960000000000004E-3</v>
      </c>
      <c r="C45" s="26">
        <f>20*LOG10(1.58/Tabela3[[#This Row],[ACM]])</f>
        <v>51.940632148009556</v>
      </c>
      <c r="M45" s="31"/>
      <c r="N45" s="31"/>
      <c r="O45" s="31"/>
    </row>
    <row r="46" spans="1:15" x14ac:dyDescent="0.3">
      <c r="A46" s="12">
        <v>4</v>
      </c>
      <c r="B46" s="38">
        <v>4.1960000000000001E-3</v>
      </c>
      <c r="C46" s="26">
        <f>20*LOG10(1.58/Tabela3[[#This Row],[ACM]])</f>
        <v>51.516432148658055</v>
      </c>
      <c r="M46" s="31"/>
      <c r="N46" s="31"/>
      <c r="O46" s="31"/>
    </row>
    <row r="47" spans="1:15" x14ac:dyDescent="0.3">
      <c r="A47" s="12">
        <v>4.5</v>
      </c>
      <c r="B47" s="38">
        <v>4.3959999999999997E-3</v>
      </c>
      <c r="C47" s="26">
        <f>20*LOG10(1.58/Tabela3[[#This Row],[ACM]])</f>
        <v>51.111988064059389</v>
      </c>
      <c r="M47" s="31"/>
      <c r="N47" s="31"/>
      <c r="O47" s="31"/>
    </row>
    <row r="48" spans="1:15" x14ac:dyDescent="0.3">
      <c r="A48" s="12">
        <v>5</v>
      </c>
      <c r="B48" s="38">
        <v>4.5960000000000003E-3</v>
      </c>
      <c r="C48" s="26">
        <f>20*LOG10(1.58/Tabela3[[#This Row],[ACM]])</f>
        <v>50.725541338763506</v>
      </c>
      <c r="M48" s="31"/>
      <c r="N48" s="31"/>
      <c r="O48" s="31"/>
    </row>
    <row r="49" spans="1:15" x14ac:dyDescent="0.3">
      <c r="A49" s="12">
        <v>5.5</v>
      </c>
      <c r="B49" s="38">
        <v>4.7959999999999999E-3</v>
      </c>
      <c r="C49" s="26">
        <f>20*LOG10(1.58/Tabela3[[#This Row],[ACM]])</f>
        <v>50.355558250552228</v>
      </c>
      <c r="M49" s="31"/>
      <c r="N49" s="31"/>
      <c r="O49" s="31"/>
    </row>
    <row r="50" spans="1:15" x14ac:dyDescent="0.3">
      <c r="A50" s="12">
        <v>6</v>
      </c>
      <c r="B50" s="38">
        <v>4.9959999999999996E-3</v>
      </c>
      <c r="C50" s="26">
        <f>20*LOG10(1.58/Tabela3[[#This Row],[ACM]])</f>
        <v>50.000693145046498</v>
      </c>
      <c r="M50" s="31"/>
      <c r="N50" s="31"/>
      <c r="O50" s="31"/>
    </row>
    <row r="51" spans="1:15" x14ac:dyDescent="0.3">
      <c r="A51" s="12">
        <v>6.5</v>
      </c>
      <c r="B51" s="38">
        <v>5.1960000000000001E-3</v>
      </c>
      <c r="C51" s="26">
        <f>20*LOG10(1.58/Tabela3[[#This Row],[ACM]])</f>
        <v>49.659758891068648</v>
      </c>
      <c r="M51" s="31"/>
      <c r="N51" s="31"/>
      <c r="O51" s="31"/>
    </row>
    <row r="52" spans="1:15" x14ac:dyDescent="0.3">
      <c r="A52" s="12">
        <v>7</v>
      </c>
      <c r="B52" s="38">
        <v>5.3959999999999998E-3</v>
      </c>
      <c r="C52" s="26">
        <f>20*LOG10(1.58/Tabela3[[#This Row],[ACM]])</f>
        <v>49.331702919091128</v>
      </c>
      <c r="M52" s="31"/>
      <c r="N52" s="31"/>
      <c r="O52" s="31"/>
    </row>
    <row r="53" spans="1:15" x14ac:dyDescent="0.3">
      <c r="A53" s="12">
        <v>7.5</v>
      </c>
      <c r="B53" s="38">
        <v>5.5960000000000003E-3</v>
      </c>
      <c r="C53" s="26">
        <f>20*LOG10(1.58/Tabela3[[#This Row],[ACM]])</f>
        <v>49.015587622692649</v>
      </c>
      <c r="I53" s="32"/>
      <c r="M53" s="31"/>
      <c r="N53" s="31"/>
      <c r="O53" s="31"/>
    </row>
    <row r="54" spans="1:15" x14ac:dyDescent="0.3">
      <c r="A54" s="12">
        <v>8</v>
      </c>
      <c r="B54" s="38">
        <v>5.7959999999999999E-3</v>
      </c>
      <c r="C54" s="26">
        <f>20*LOG10(1.58/Tabela3[[#This Row],[ACM]])</f>
        <v>48.710574203105715</v>
      </c>
      <c r="I54" s="32"/>
      <c r="M54" s="31"/>
      <c r="N54" s="31"/>
      <c r="O54" s="31"/>
    </row>
    <row r="55" spans="1:15" x14ac:dyDescent="0.3">
      <c r="A55" s="12">
        <v>8.5</v>
      </c>
      <c r="B55" s="38">
        <v>5.9959999999999996E-3</v>
      </c>
      <c r="C55" s="26">
        <f>20*LOG10(1.58/Tabela3[[#This Row],[ACM]])</f>
        <v>48.415909255563612</v>
      </c>
      <c r="I55" s="32"/>
      <c r="M55" s="31"/>
      <c r="N55" s="31"/>
      <c r="O55" s="31"/>
    </row>
    <row r="56" spans="1:15" x14ac:dyDescent="0.3">
      <c r="A56" s="12">
        <v>9</v>
      </c>
      <c r="B56" s="38">
        <v>6.1960000000000001E-3</v>
      </c>
      <c r="C56" s="26">
        <f>20*LOG10(1.58/Tabela3[[#This Row],[ACM]])</f>
        <v>48.130913557345082</v>
      </c>
      <c r="I56" s="32"/>
      <c r="M56" s="31"/>
      <c r="N56" s="31"/>
      <c r="O56" s="31"/>
    </row>
    <row r="57" spans="1:15" x14ac:dyDescent="0.3">
      <c r="A57" s="12">
        <v>9.5</v>
      </c>
      <c r="B57" s="38">
        <v>6.3959999999999998E-3</v>
      </c>
      <c r="C57" s="26">
        <f>20*LOG10(1.58/Tabela3[[#This Row],[ACM]])</f>
        <v>47.854972637604511</v>
      </c>
      <c r="I57" s="32"/>
      <c r="M57" s="31"/>
      <c r="N57" s="31"/>
      <c r="O57" s="31"/>
    </row>
    <row r="58" spans="1:15" x14ac:dyDescent="0.3">
      <c r="A58" s="12">
        <v>10</v>
      </c>
      <c r="B58" s="38">
        <v>6.5960000000000003E-3</v>
      </c>
      <c r="C58" s="26">
        <f>20*LOG10(1.58/Tabela3[[#This Row],[ACM]])</f>
        <v>47.587528799638825</v>
      </c>
      <c r="M58" s="31"/>
      <c r="N58" s="31"/>
      <c r="O58" s="31"/>
    </row>
    <row r="59" spans="1:15" x14ac:dyDescent="0.3">
      <c r="A59" s="28"/>
      <c r="B59" s="28"/>
      <c r="C59" s="37"/>
      <c r="M59" s="31"/>
      <c r="N59" s="31"/>
      <c r="O59" s="31"/>
    </row>
    <row r="60" spans="1:15" x14ac:dyDescent="0.3">
      <c r="A60" s="28" t="s">
        <v>49</v>
      </c>
      <c r="B60" s="37">
        <f>AVERAGE(B43:B59)</f>
        <v>5.0959999999999998E-3</v>
      </c>
      <c r="C60" s="37">
        <f>20*LOG10(1.58/Tabela3[[#This Row],[ACM]])</f>
        <v>49.828553352542571</v>
      </c>
    </row>
    <row r="62" spans="1:15" x14ac:dyDescent="0.3">
      <c r="A62" s="54" t="s">
        <v>52</v>
      </c>
      <c r="B62" s="54"/>
      <c r="C62" s="54"/>
      <c r="D62" s="54"/>
    </row>
    <row r="63" spans="1:15" x14ac:dyDescent="0.3">
      <c r="A63" s="33" t="s">
        <v>58</v>
      </c>
      <c r="B63" s="34" t="s">
        <v>59</v>
      </c>
      <c r="C63" s="35" t="s">
        <v>50</v>
      </c>
      <c r="D63" s="35" t="s">
        <v>53</v>
      </c>
    </row>
    <row r="64" spans="1:15" x14ac:dyDescent="0.3">
      <c r="A64" s="39">
        <v>2</v>
      </c>
      <c r="B64" s="40">
        <v>-3.2841593780474902E-5</v>
      </c>
      <c r="C64" s="40">
        <f>B64/2</f>
        <v>-1.6420796890237451E-5</v>
      </c>
      <c r="D64" s="36">
        <f>20*LOG10(ABS(1.58/C64))</f>
        <v>99.665257152804855</v>
      </c>
    </row>
    <row r="65" spans="1:4" x14ac:dyDescent="0.3">
      <c r="A65" s="39">
        <v>2.5</v>
      </c>
      <c r="B65" s="40">
        <v>-4.6580045436117601E-5</v>
      </c>
      <c r="C65" s="40">
        <f t="shared" ref="C65:C80" si="2">B65/2</f>
        <v>-2.32900227180588E-5</v>
      </c>
      <c r="D65" s="36">
        <f t="shared" ref="D65:D80" si="3">20*LOG10(ABS(1.58/C65))</f>
        <v>96.629743495811965</v>
      </c>
    </row>
    <row r="66" spans="1:4" x14ac:dyDescent="0.3">
      <c r="A66" s="39">
        <v>3</v>
      </c>
      <c r="B66" s="40">
        <v>-6.0335725199589498E-5</v>
      </c>
      <c r="C66" s="40">
        <f t="shared" si="2"/>
        <v>-3.0167862599794749E-5</v>
      </c>
      <c r="D66" s="36">
        <f t="shared" si="3"/>
        <v>94.382250911125794</v>
      </c>
    </row>
    <row r="67" spans="1:4" x14ac:dyDescent="0.3">
      <c r="A67" s="39">
        <v>3.5</v>
      </c>
      <c r="B67" s="40">
        <v>-7.4108681702211894E-5</v>
      </c>
      <c r="C67" s="40">
        <f t="shared" si="2"/>
        <v>-3.7054340851105947E-5</v>
      </c>
      <c r="D67" s="36">
        <f t="shared" si="3"/>
        <v>92.596359896423408</v>
      </c>
    </row>
    <row r="68" spans="1:4" x14ac:dyDescent="0.3">
      <c r="A68" s="39">
        <v>4</v>
      </c>
      <c r="B68" s="40">
        <v>-8.7898963696542195E-5</v>
      </c>
      <c r="C68" s="40">
        <f t="shared" si="2"/>
        <v>-4.3949481848271097E-5</v>
      </c>
      <c r="D68" s="36">
        <f t="shared" si="3"/>
        <v>91.114066554425364</v>
      </c>
    </row>
    <row r="69" spans="1:4" x14ac:dyDescent="0.3">
      <c r="A69" s="39">
        <v>4.5</v>
      </c>
      <c r="B69" s="40">
        <v>-1.01706620094344E-4</v>
      </c>
      <c r="C69" s="40">
        <f t="shared" si="2"/>
        <v>-5.0853310047172001E-5</v>
      </c>
      <c r="D69" s="36">
        <f t="shared" si="3"/>
        <v>89.84675721006424</v>
      </c>
    </row>
    <row r="70" spans="1:4" x14ac:dyDescent="0.3">
      <c r="A70" s="39">
        <v>5</v>
      </c>
      <c r="B70" s="40">
        <v>-1.15531699984128E-4</v>
      </c>
      <c r="C70" s="40">
        <f t="shared" si="2"/>
        <v>-5.7765849992063998E-5</v>
      </c>
      <c r="D70" s="36">
        <f t="shared" si="3"/>
        <v>88.739718376588442</v>
      </c>
    </row>
    <row r="71" spans="1:4" x14ac:dyDescent="0.3">
      <c r="A71" s="39">
        <v>5.5</v>
      </c>
      <c r="B71" s="40">
        <v>-1.2937425263226401E-4</v>
      </c>
      <c r="C71" s="40">
        <f t="shared" si="2"/>
        <v>-6.4687126316132005E-5</v>
      </c>
      <c r="D71" s="36">
        <f t="shared" si="3"/>
        <v>87.756784572753418</v>
      </c>
    </row>
    <row r="72" spans="1:4" x14ac:dyDescent="0.3">
      <c r="A72" s="39">
        <v>6</v>
      </c>
      <c r="B72" s="40">
        <v>-1.4323432742990901E-4</v>
      </c>
      <c r="C72" s="40">
        <f t="shared" si="2"/>
        <v>-7.1617163714954505E-5</v>
      </c>
      <c r="D72" s="36">
        <f t="shared" si="3"/>
        <v>86.872799389747101</v>
      </c>
    </row>
    <row r="73" spans="1:4" x14ac:dyDescent="0.3">
      <c r="A73" s="39">
        <v>6.5</v>
      </c>
      <c r="B73" s="40">
        <v>-1.5711197398804401E-4</v>
      </c>
      <c r="C73" s="40">
        <f t="shared" si="2"/>
        <v>-7.8555986994022003E-5</v>
      </c>
      <c r="D73" s="36">
        <f t="shared" si="3"/>
        <v>86.069555947906508</v>
      </c>
    </row>
    <row r="74" spans="1:4" x14ac:dyDescent="0.3">
      <c r="A74" s="39">
        <v>7</v>
      </c>
      <c r="B74" s="40">
        <v>-1.7100724204377501E-4</v>
      </c>
      <c r="C74" s="40">
        <f t="shared" si="2"/>
        <v>-8.5503621021887504E-5</v>
      </c>
      <c r="D74" s="36">
        <f t="shared" si="3"/>
        <v>85.33345159504546</v>
      </c>
    </row>
    <row r="75" spans="1:4" x14ac:dyDescent="0.3">
      <c r="A75" s="39">
        <v>7.5</v>
      </c>
      <c r="B75" s="40">
        <v>-1.8492018149984801E-4</v>
      </c>
      <c r="C75" s="40">
        <f t="shared" si="2"/>
        <v>-9.2460090749924007E-5</v>
      </c>
      <c r="D75" s="36">
        <f t="shared" si="3"/>
        <v>84.654055431809923</v>
      </c>
    </row>
    <row r="76" spans="1:4" x14ac:dyDescent="0.3">
      <c r="A76" s="39">
        <v>8</v>
      </c>
      <c r="B76" s="40">
        <v>-1.9885084241355599E-4</v>
      </c>
      <c r="C76" s="40">
        <f t="shared" si="2"/>
        <v>-9.9425421206777997E-5</v>
      </c>
      <c r="D76" s="36">
        <f t="shared" si="3"/>
        <v>84.023192948866594</v>
      </c>
    </row>
    <row r="77" spans="1:4" x14ac:dyDescent="0.3">
      <c r="A77" s="39">
        <v>8.5</v>
      </c>
      <c r="B77" s="40">
        <v>-2.1279927512019001E-4</v>
      </c>
      <c r="C77" s="40">
        <f t="shared" si="2"/>
        <v>-1.0639963756009501E-4</v>
      </c>
      <c r="D77" s="36">
        <f t="shared" si="3"/>
        <v>83.434338767486608</v>
      </c>
    </row>
    <row r="78" spans="1:4" x14ac:dyDescent="0.3">
      <c r="A78" s="39">
        <v>9</v>
      </c>
      <c r="B78" s="40">
        <v>-2.2676552995193301E-4</v>
      </c>
      <c r="C78" s="40">
        <f t="shared" si="2"/>
        <v>-1.133827649759665E-4</v>
      </c>
      <c r="D78" s="36">
        <f t="shared" si="3"/>
        <v>82.882200867474154</v>
      </c>
    </row>
    <row r="79" spans="1:4" x14ac:dyDescent="0.3">
      <c r="A79" s="39">
        <v>9.5</v>
      </c>
      <c r="B79" s="40">
        <v>-2.4074965756693001E-4</v>
      </c>
      <c r="C79" s="40">
        <f t="shared" si="2"/>
        <v>-1.20374828783465E-4</v>
      </c>
      <c r="D79" s="36">
        <f t="shared" si="3"/>
        <v>82.362428090903791</v>
      </c>
    </row>
    <row r="80" spans="1:4" x14ac:dyDescent="0.3">
      <c r="A80" s="39">
        <v>10</v>
      </c>
      <c r="B80" s="40">
        <v>-2.5475170866062801E-4</v>
      </c>
      <c r="C80" s="40">
        <f t="shared" si="2"/>
        <v>-1.2737585433031401E-4</v>
      </c>
      <c r="D80" s="36">
        <f t="shared" si="3"/>
        <v>81.871399540946499</v>
      </c>
    </row>
    <row r="82" spans="1:4" x14ac:dyDescent="0.3">
      <c r="A82" s="55" t="s">
        <v>49</v>
      </c>
      <c r="B82" s="55"/>
      <c r="C82" s="41">
        <f>AVERAGE(C64:C80)</f>
        <v>-7.172259768236721E-5</v>
      </c>
      <c r="D82" s="36">
        <f>AVERAGE(D64:D80)</f>
        <v>88.131432985304954</v>
      </c>
    </row>
  </sheetData>
  <sortState xmlns:xlrd2="http://schemas.microsoft.com/office/spreadsheetml/2017/richdata2" ref="A29:D35">
    <sortCondition ref="A29:A35"/>
  </sortState>
  <mergeCells count="4">
    <mergeCell ref="A40:C40"/>
    <mergeCell ref="A62:D62"/>
    <mergeCell ref="A82:B82"/>
    <mergeCell ref="A27:D27"/>
  </mergeCells>
  <pageMargins left="0.7" right="0.7" top="0.75" bottom="0.75" header="0.3" footer="0.3"/>
  <pageSetup paperSize="9" orientation="portrait" r:id="rId1"/>
  <ignoredErrors>
    <ignoredError sqref="B60" formulaRange="1"/>
    <ignoredError sqref="C42:C60" calculatedColumn="1"/>
  </ignoredErrors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12DC1-8750-4C64-906E-865A34DB0D46}">
  <sheetPr>
    <tabColor theme="1" tint="0.249977111117893"/>
  </sheetPr>
  <dimension ref="B1:E97"/>
  <sheetViews>
    <sheetView topLeftCell="A4" zoomScale="82" zoomScaleNormal="100" workbookViewId="0">
      <selection activeCell="B86" sqref="B86:C97"/>
    </sheetView>
  </sheetViews>
  <sheetFormatPr defaultRowHeight="14.4" x14ac:dyDescent="0.3"/>
  <cols>
    <col min="1" max="1" width="1.109375" customWidth="1"/>
    <col min="2" max="2" width="8.88671875" customWidth="1"/>
    <col min="3" max="4" width="8.88671875" style="17" customWidth="1"/>
    <col min="5" max="5" width="12.33203125" bestFit="1" customWidth="1"/>
    <col min="19" max="19" width="15.33203125" bestFit="1" customWidth="1"/>
  </cols>
  <sheetData>
    <row r="1" spans="2:5" x14ac:dyDescent="0.3">
      <c r="B1" s="15" t="s">
        <v>9</v>
      </c>
      <c r="C1" s="16" t="s">
        <v>7</v>
      </c>
      <c r="D1" s="16" t="s">
        <v>51</v>
      </c>
      <c r="E1" s="15" t="s">
        <v>28</v>
      </c>
    </row>
    <row r="2" spans="2:5" x14ac:dyDescent="0.3">
      <c r="B2" s="6">
        <v>-20</v>
      </c>
      <c r="C2" s="21">
        <f t="shared" ref="C2:C33" si="0" xml:space="preserve"> 29646*EXP(-0.043*B2)</f>
        <v>70058.261925601997</v>
      </c>
      <c r="D2" s="14">
        <v>-5.7027271556814201</v>
      </c>
      <c r="E2" s="22">
        <v>7.62939453125E-6</v>
      </c>
    </row>
    <row r="3" spans="2:5" x14ac:dyDescent="0.3">
      <c r="B3" s="6">
        <v>-19</v>
      </c>
      <c r="C3" s="21">
        <f t="shared" si="0"/>
        <v>67109.607066833531</v>
      </c>
      <c r="D3" s="14">
        <v>-5.7009834605498702</v>
      </c>
      <c r="E3" s="22">
        <v>7.6363933337319395E-6</v>
      </c>
    </row>
    <row r="4" spans="2:5" x14ac:dyDescent="0.3">
      <c r="B4" s="6">
        <v>-18</v>
      </c>
      <c r="C4" s="21">
        <f t="shared" si="0"/>
        <v>64285.056992242731</v>
      </c>
      <c r="D4" s="14">
        <v>-5.6984631792582299</v>
      </c>
      <c r="E4" s="22">
        <v>7.6368245896869704E-6</v>
      </c>
    </row>
    <row r="5" spans="2:5" x14ac:dyDescent="0.3">
      <c r="B5" s="6">
        <v>-17</v>
      </c>
      <c r="C5" s="21">
        <f t="shared" si="0"/>
        <v>61579.388303977525</v>
      </c>
      <c r="D5" s="14">
        <v>-5.69505386452051</v>
      </c>
      <c r="E5" s="22">
        <v>7.6374080186686495E-6</v>
      </c>
    </row>
    <row r="6" spans="2:5" x14ac:dyDescent="0.3">
      <c r="B6" s="6">
        <v>-16</v>
      </c>
      <c r="C6" s="21">
        <f t="shared" si="0"/>
        <v>58987.597449740562</v>
      </c>
      <c r="D6" s="14">
        <v>-5.6905494809732904</v>
      </c>
      <c r="E6" s="22">
        <v>7.6381790541742893E-6</v>
      </c>
    </row>
    <row r="7" spans="2:5" x14ac:dyDescent="0.3">
      <c r="B7" s="6">
        <v>-15</v>
      </c>
      <c r="C7" s="21">
        <f t="shared" si="0"/>
        <v>56504.891469795417</v>
      </c>
      <c r="D7" s="14">
        <v>-5.6845880193416596</v>
      </c>
      <c r="E7" s="22">
        <v>7.6391996513872696E-6</v>
      </c>
    </row>
    <row r="8" spans="2:5" x14ac:dyDescent="0.3">
      <c r="B8" s="6">
        <v>-14</v>
      </c>
      <c r="C8" s="21">
        <f t="shared" si="0"/>
        <v>54126.679133418431</v>
      </c>
      <c r="D8" s="14">
        <v>-5.6765012674350297</v>
      </c>
      <c r="E8" s="22">
        <v>7.6405845107644693E-6</v>
      </c>
    </row>
    <row r="9" spans="2:5" x14ac:dyDescent="0.3">
      <c r="B9" s="6">
        <v>-13</v>
      </c>
      <c r="C9" s="21">
        <f t="shared" si="0"/>
        <v>51848.562448404991</v>
      </c>
      <c r="D9" s="14">
        <v>-5.6649025386222904</v>
      </c>
      <c r="E9" s="22">
        <v>7.6425715972338705E-6</v>
      </c>
    </row>
    <row r="10" spans="2:5" x14ac:dyDescent="0.3">
      <c r="B10" s="6">
        <v>-12</v>
      </c>
      <c r="C10" s="21">
        <f t="shared" si="0"/>
        <v>49666.328527928876</v>
      </c>
      <c r="D10" s="14">
        <v>-5.6462395535763799</v>
      </c>
      <c r="E10" s="22">
        <v>7.6457709332411097E-6</v>
      </c>
    </row>
    <row r="11" spans="2:5" x14ac:dyDescent="0.3">
      <c r="B11" s="6">
        <v>-11</v>
      </c>
      <c r="C11" s="21">
        <f t="shared" si="0"/>
        <v>47575.941799714172</v>
      </c>
      <c r="D11" s="14">
        <v>-5.6073555877744496</v>
      </c>
      <c r="E11" s="22">
        <v>7.6524445583266395E-6</v>
      </c>
    </row>
    <row r="12" spans="2:5" x14ac:dyDescent="0.3">
      <c r="B12" s="6">
        <v>-10</v>
      </c>
      <c r="C12" s="21">
        <f t="shared" si="0"/>
        <v>45573.53654311235</v>
      </c>
      <c r="D12" s="14">
        <v>-5.5009912856793299</v>
      </c>
      <c r="E12" s="22">
        <v>7.6707558565855592E-6</v>
      </c>
    </row>
    <row r="13" spans="2:5" x14ac:dyDescent="0.3">
      <c r="B13" s="6">
        <v>-9</v>
      </c>
      <c r="C13" s="21">
        <f t="shared" si="0"/>
        <v>43655.409740283365</v>
      </c>
      <c r="D13" s="14">
        <v>-5.3500383553570803</v>
      </c>
      <c r="E13" s="22">
        <v>7.6968888339578905E-6</v>
      </c>
    </row>
    <row r="14" spans="2:5" x14ac:dyDescent="0.3">
      <c r="B14" s="6">
        <v>-8</v>
      </c>
      <c r="C14" s="21">
        <f t="shared" si="0"/>
        <v>41818.014228260632</v>
      </c>
      <c r="D14" s="14">
        <v>-5.1934310551140603</v>
      </c>
      <c r="E14" s="22">
        <v>7.7241906154887092E-6</v>
      </c>
    </row>
    <row r="15" spans="2:5" x14ac:dyDescent="0.3">
      <c r="B15" s="6">
        <v>-7</v>
      </c>
      <c r="C15" s="21">
        <f t="shared" si="0"/>
        <v>40057.952139236011</v>
      </c>
      <c r="D15" s="14">
        <v>-5.0326212056875397</v>
      </c>
      <c r="E15" s="22">
        <v>7.7524385955778603E-6</v>
      </c>
    </row>
    <row r="16" spans="2:5" x14ac:dyDescent="0.3">
      <c r="B16" s="6">
        <v>-6</v>
      </c>
      <c r="C16" s="21">
        <f t="shared" si="0"/>
        <v>38371.968616934151</v>
      </c>
      <c r="D16" s="14">
        <v>-4.8676053575832503</v>
      </c>
      <c r="E16" s="22">
        <v>7.7816649765504702E-6</v>
      </c>
    </row>
    <row r="17" spans="2:5" x14ac:dyDescent="0.3">
      <c r="B17" s="6">
        <v>-5</v>
      </c>
      <c r="C17" s="21">
        <f t="shared" si="0"/>
        <v>36756.945797455868</v>
      </c>
      <c r="D17" s="14">
        <v>-4.6983752815295698</v>
      </c>
      <c r="E17" s="22">
        <v>7.8119071993375995E-6</v>
      </c>
    </row>
    <row r="18" spans="2:5" x14ac:dyDescent="0.3">
      <c r="B18" s="6">
        <v>-4</v>
      </c>
      <c r="C18" s="21">
        <f t="shared" si="0"/>
        <v>35209.897043459459</v>
      </c>
      <c r="D18" s="14">
        <v>-4.5249296996990802</v>
      </c>
      <c r="E18" s="22">
        <v>7.8432066606332907E-6</v>
      </c>
    </row>
    <row r="19" spans="2:5" x14ac:dyDescent="0.3">
      <c r="B19" s="6">
        <v>-3</v>
      </c>
      <c r="C19" s="21">
        <f t="shared" si="0"/>
        <v>33727.96142101728</v>
      </c>
      <c r="D19" s="14">
        <v>-4.34727539085402</v>
      </c>
      <c r="E19" s="22">
        <v>7.8756095129607702E-6</v>
      </c>
    </row>
    <row r="20" spans="2:5" x14ac:dyDescent="0.3">
      <c r="B20" s="6">
        <v>-2</v>
      </c>
      <c r="C20" s="21">
        <f t="shared" si="0"/>
        <v>32308.398408933845</v>
      </c>
      <c r="D20" s="14">
        <v>-4.1654276238941099</v>
      </c>
      <c r="E20" s="22">
        <v>7.9091677786493603E-6</v>
      </c>
    </row>
    <row r="21" spans="2:5" x14ac:dyDescent="0.3">
      <c r="B21" s="6">
        <v>-1</v>
      </c>
      <c r="C21" s="21">
        <f t="shared" si="0"/>
        <v>30948.582830741263</v>
      </c>
      <c r="D21" s="14">
        <v>-3.9794102726309002</v>
      </c>
      <c r="E21" s="22">
        <v>7.9439408303342294E-6</v>
      </c>
    </row>
    <row r="22" spans="2:5" x14ac:dyDescent="0.3">
      <c r="B22" s="6">
        <v>0</v>
      </c>
      <c r="C22" s="21">
        <f t="shared" si="0"/>
        <v>29646</v>
      </c>
      <c r="D22" s="14">
        <v>-3.7892559386606801</v>
      </c>
      <c r="E22" s="22">
        <v>7.9799973721486501E-6</v>
      </c>
    </row>
    <row r="23" spans="2:5" x14ac:dyDescent="0.3">
      <c r="B23" s="6">
        <v>1</v>
      </c>
      <c r="C23" s="21">
        <f t="shared" si="0"/>
        <v>28398.24106992719</v>
      </c>
      <c r="D23" s="14">
        <v>-3.5950068891501901</v>
      </c>
      <c r="E23" s="22">
        <v>8.0174177761557293E-6</v>
      </c>
    </row>
    <row r="24" spans="2:5" x14ac:dyDescent="0.3">
      <c r="B24" s="6">
        <v>2</v>
      </c>
      <c r="C24" s="21">
        <f t="shared" si="0"/>
        <v>27202.998578752595</v>
      </c>
      <c r="D24" s="14">
        <v>-3.3967145701942001</v>
      </c>
      <c r="E24" s="22">
        <v>8.0562975625138598E-6</v>
      </c>
    </row>
    <row r="25" spans="2:5" x14ac:dyDescent="0.3">
      <c r="B25" s="6">
        <v>3</v>
      </c>
      <c r="C25" s="21">
        <f t="shared" si="0"/>
        <v>26058.062182564357</v>
      </c>
      <c r="D25" s="14">
        <v>-3.1944406071804301</v>
      </c>
      <c r="E25" s="22">
        <v>8.0967517120790903E-6</v>
      </c>
    </row>
    <row r="26" spans="2:5" x14ac:dyDescent="0.3">
      <c r="B26" s="6">
        <v>4</v>
      </c>
      <c r="C26" s="21">
        <f t="shared" si="0"/>
        <v>24961.314567753347</v>
      </c>
      <c r="D26" s="14">
        <v>-2.9882562464573499</v>
      </c>
      <c r="E26" s="22">
        <v>8.1389209973993497E-6</v>
      </c>
    </row>
    <row r="27" spans="2:5" x14ac:dyDescent="0.3">
      <c r="B27" s="6">
        <v>5</v>
      </c>
      <c r="C27" s="21">
        <f t="shared" si="0"/>
        <v>23910.727535497033</v>
      </c>
      <c r="D27" s="14">
        <v>-2.77824326000282</v>
      </c>
      <c r="E27" s="22">
        <v>8.1829804182676202E-6</v>
      </c>
    </row>
    <row r="28" spans="2:5" x14ac:dyDescent="0.3">
      <c r="B28" s="6">
        <v>6</v>
      </c>
      <c r="C28" s="21">
        <f t="shared" si="0"/>
        <v>22904.358251041987</v>
      </c>
      <c r="D28" s="14">
        <v>-2.56449331271115</v>
      </c>
      <c r="E28" s="22">
        <v>8.2291518269395894E-6</v>
      </c>
    </row>
    <row r="29" spans="2:5" x14ac:dyDescent="0.3">
      <c r="B29" s="6">
        <v>7</v>
      </c>
      <c r="C29" s="21">
        <f t="shared" si="0"/>
        <v>21940.345650848893</v>
      </c>
      <c r="D29" s="14">
        <v>-2.3471087630499499</v>
      </c>
      <c r="E29" s="22">
        <v>8.2777220954260006E-6</v>
      </c>
    </row>
    <row r="30" spans="2:5" x14ac:dyDescent="0.3">
      <c r="B30" s="6">
        <v>8</v>
      </c>
      <c r="C30" s="21">
        <f t="shared" si="0"/>
        <v>21016.907000955798</v>
      </c>
      <c r="D30" s="14">
        <v>-2.1262019325116901</v>
      </c>
      <c r="E30" s="22">
        <v>8.3290713664267395E-6</v>
      </c>
    </row>
    <row r="31" spans="2:5" x14ac:dyDescent="0.3">
      <c r="B31" s="6">
        <v>9</v>
      </c>
      <c r="C31" s="21">
        <f t="shared" si="0"/>
        <v>20132.334600195078</v>
      </c>
      <c r="D31" s="14">
        <v>-1.9018958056389801</v>
      </c>
      <c r="E31" s="22">
        <v>8.3837175270686796E-6</v>
      </c>
    </row>
    <row r="32" spans="2:5" x14ac:dyDescent="0.3">
      <c r="B32" s="6">
        <v>10</v>
      </c>
      <c r="C32" s="21">
        <f t="shared" si="0"/>
        <v>19284.992622167447</v>
      </c>
      <c r="D32" s="14">
        <v>-1.6743231732824599</v>
      </c>
      <c r="E32" s="22">
        <v>8.4423909921971302E-6</v>
      </c>
    </row>
    <row r="33" spans="2:5" x14ac:dyDescent="0.3">
      <c r="B33" s="6">
        <v>11</v>
      </c>
      <c r="C33" s="21">
        <f t="shared" si="0"/>
        <v>18473.314090132844</v>
      </c>
      <c r="D33" s="14">
        <v>-1.4436272215689001</v>
      </c>
      <c r="E33" s="22">
        <v>8.5061668465827292E-6</v>
      </c>
    </row>
    <row r="34" spans="2:5" x14ac:dyDescent="0.3">
      <c r="B34" s="6">
        <v>12</v>
      </c>
      <c r="C34" s="21">
        <f t="shared" ref="C34:C65" si="1" xml:space="preserve"> 29646*EXP(-0.043*B34)</f>
        <v>17695.797979224018</v>
      </c>
      <c r="D34" s="14">
        <v>-1.20996057374238</v>
      </c>
      <c r="E34" s="22">
        <v>8.5767189127739708E-6</v>
      </c>
    </row>
    <row r="35" spans="2:5" x14ac:dyDescent="0.3">
      <c r="B35" s="6">
        <v>13</v>
      </c>
      <c r="C35" s="21">
        <f t="shared" si="1"/>
        <v>16951.006440623831</v>
      </c>
      <c r="D35" s="14">
        <v>-0.97348573541863404</v>
      </c>
      <c r="E35" s="22">
        <v>8.6568594035650306E-6</v>
      </c>
    </row>
    <row r="36" spans="2:5" x14ac:dyDescent="0.3">
      <c r="B36" s="6">
        <v>14</v>
      </c>
      <c r="C36" s="21">
        <f t="shared" si="1"/>
        <v>16237.562142573166</v>
      </c>
      <c r="D36" s="14">
        <v>-0.734374020292758</v>
      </c>
      <c r="E36" s="22">
        <v>8.7518675288917393E-6</v>
      </c>
    </row>
    <row r="37" spans="2:5" x14ac:dyDescent="0.3">
      <c r="B37" s="6">
        <v>15</v>
      </c>
      <c r="C37" s="21">
        <f t="shared" si="1"/>
        <v>15554.145723292053</v>
      </c>
      <c r="D37" s="14">
        <v>-0.492805876424106</v>
      </c>
      <c r="E37" s="22">
        <v>8.8735878910170002E-6</v>
      </c>
    </row>
    <row r="38" spans="2:5" x14ac:dyDescent="0.3">
      <c r="B38" s="6">
        <v>16</v>
      </c>
      <c r="C38" s="21">
        <f t="shared" si="1"/>
        <v>14899.493351103851</v>
      </c>
      <c r="D38" s="14">
        <v>-0.248969697793963</v>
      </c>
      <c r="E38" s="22">
        <v>9.0596114337041003E-6</v>
      </c>
    </row>
    <row r="39" spans="2:5" x14ac:dyDescent="0.3">
      <c r="B39" s="6">
        <v>17</v>
      </c>
      <c r="C39" s="21">
        <f t="shared" si="1"/>
        <v>14272.394387250371</v>
      </c>
      <c r="D39" s="14">
        <v>-3.0620267835995202E-3</v>
      </c>
      <c r="E39" s="22">
        <v>1.00835311801008E-5</v>
      </c>
    </row>
    <row r="40" spans="2:5" x14ac:dyDescent="0.3">
      <c r="B40" s="6">
        <v>18</v>
      </c>
      <c r="C40" s="21">
        <f t="shared" si="1"/>
        <v>13671.689147075889</v>
      </c>
      <c r="D40" s="14">
        <v>0.24471373930517601</v>
      </c>
      <c r="E40" s="22">
        <v>0.24471456553812501</v>
      </c>
    </row>
    <row r="41" spans="2:5" x14ac:dyDescent="0.3">
      <c r="B41" s="6">
        <v>19</v>
      </c>
      <c r="C41" s="21">
        <f t="shared" si="1"/>
        <v>13096.266755439801</v>
      </c>
      <c r="D41" s="14">
        <v>0.494147302715996</v>
      </c>
      <c r="E41" s="22">
        <v>0.49414011150279102</v>
      </c>
    </row>
    <row r="42" spans="2:5" x14ac:dyDescent="0.3">
      <c r="B42" s="6">
        <v>20</v>
      </c>
      <c r="C42" s="21">
        <f t="shared" si="1"/>
        <v>12545.063092391983</v>
      </c>
      <c r="D42" s="14">
        <v>0.74502274574250305</v>
      </c>
      <c r="E42" s="22">
        <v>0.74500741273814797</v>
      </c>
    </row>
    <row r="43" spans="2:5" x14ac:dyDescent="0.3">
      <c r="B43" s="6">
        <v>21</v>
      </c>
      <c r="C43" s="21">
        <f t="shared" si="1"/>
        <v>12017.058825311806</v>
      </c>
      <c r="D43" s="14">
        <v>0.99711869380468299</v>
      </c>
      <c r="E43" s="22">
        <v>0.99709523949710599</v>
      </c>
    </row>
    <row r="44" spans="2:5" x14ac:dyDescent="0.3">
      <c r="B44" s="6">
        <v>22</v>
      </c>
      <c r="C44" s="21">
        <f t="shared" si="1"/>
        <v>11511.277523871711</v>
      </c>
      <c r="D44" s="14">
        <v>1.25020962477957</v>
      </c>
      <c r="E44" s="22">
        <v>1.25017793874037</v>
      </c>
    </row>
    <row r="45" spans="2:5" x14ac:dyDescent="0.3">
      <c r="B45" s="6">
        <v>23</v>
      </c>
      <c r="C45" s="21">
        <f t="shared" si="1"/>
        <v>11026.783854339317</v>
      </c>
      <c r="D45" s="14">
        <v>1.50406611151868</v>
      </c>
      <c r="E45" s="22">
        <v>1.5040262284819099</v>
      </c>
    </row>
    <row r="46" spans="2:5" x14ac:dyDescent="0.3">
      <c r="B46" s="6">
        <v>24</v>
      </c>
      <c r="C46" s="21">
        <f t="shared" si="1"/>
        <v>10562.681849878865</v>
      </c>
      <c r="D46" s="14">
        <v>1.75845619515911</v>
      </c>
      <c r="E46" s="22">
        <v>1.7584080193356399</v>
      </c>
    </row>
    <row r="47" spans="2:5" x14ac:dyDescent="0.3">
      <c r="B47" s="6">
        <v>25</v>
      </c>
      <c r="C47" s="21">
        <f t="shared" si="1"/>
        <v>10118.113253653259</v>
      </c>
      <c r="D47" s="14">
        <v>2.0131456771506402</v>
      </c>
      <c r="E47" s="22">
        <v>2.0130892581433</v>
      </c>
    </row>
    <row r="48" spans="2:5" x14ac:dyDescent="0.3">
      <c r="B48" s="6">
        <v>26</v>
      </c>
      <c r="C48" s="21">
        <f t="shared" si="1"/>
        <v>9692.2559316626412</v>
      </c>
      <c r="D48" s="14">
        <v>2.26789952945964</v>
      </c>
      <c r="E48" s="22">
        <v>2.2678347865803601</v>
      </c>
    </row>
    <row r="49" spans="2:5" x14ac:dyDescent="0.3">
      <c r="B49" s="6">
        <v>27</v>
      </c>
      <c r="C49" s="21">
        <f t="shared" si="1"/>
        <v>9284.3223523843844</v>
      </c>
      <c r="D49" s="14">
        <v>2.5224822108056002</v>
      </c>
      <c r="E49" s="22">
        <v>2.5224092090030998</v>
      </c>
    </row>
    <row r="50" spans="2:5" x14ac:dyDescent="0.3">
      <c r="B50" s="6">
        <v>28</v>
      </c>
      <c r="C50" s="21">
        <f t="shared" si="1"/>
        <v>8893.5581304029274</v>
      </c>
      <c r="D50" s="14">
        <v>2.77665908759128</v>
      </c>
      <c r="E50" s="22">
        <v>2.7765777611106102</v>
      </c>
    </row>
    <row r="51" spans="2:5" x14ac:dyDescent="0.3">
      <c r="B51" s="6">
        <v>29</v>
      </c>
      <c r="C51" s="21">
        <f t="shared" si="1"/>
        <v>8519.2406313362117</v>
      </c>
      <c r="D51" s="14">
        <v>3.0301967468412498</v>
      </c>
      <c r="E51" s="22">
        <v>3.03010717638083</v>
      </c>
    </row>
    <row r="52" spans="2:5" x14ac:dyDescent="0.3">
      <c r="B52" s="6">
        <v>30</v>
      </c>
      <c r="C52" s="21">
        <f t="shared" si="1"/>
        <v>8160.6776354787989</v>
      </c>
      <c r="D52" s="14">
        <v>3.2828644002433802</v>
      </c>
      <c r="E52" s="22">
        <v>3.2827665350954298</v>
      </c>
    </row>
    <row r="53" spans="2:5" x14ac:dyDescent="0.3">
      <c r="B53" s="6">
        <v>31</v>
      </c>
      <c r="C53" s="21">
        <f t="shared" si="1"/>
        <v>7817.206057690425</v>
      </c>
      <c r="D53" s="14">
        <v>3.5344341673235999</v>
      </c>
      <c r="E53" s="22">
        <v>3.5343281034383298</v>
      </c>
    </row>
    <row r="54" spans="2:5" x14ac:dyDescent="0.3">
      <c r="B54" s="6">
        <v>32</v>
      </c>
      <c r="C54" s="21">
        <f t="shared" si="1"/>
        <v>7488.1907211626485</v>
      </c>
      <c r="D54" s="14">
        <v>3.7846824367653</v>
      </c>
      <c r="E54" s="22">
        <v>3.7845681384390502</v>
      </c>
    </row>
    <row r="55" spans="2:5" x14ac:dyDescent="0.3">
      <c r="B55" s="6">
        <v>33</v>
      </c>
      <c r="C55" s="21">
        <f t="shared" si="1"/>
        <v>7173.0231827959533</v>
      </c>
      <c r="D55" s="14">
        <v>4.0333900911023202</v>
      </c>
      <c r="E55" s="22">
        <v>4.0332676716343903</v>
      </c>
    </row>
    <row r="56" spans="2:5" x14ac:dyDescent="0.3">
      <c r="B56" s="6">
        <v>34</v>
      </c>
      <c r="C56" s="21">
        <f t="shared" si="1"/>
        <v>6871.1206080151069</v>
      </c>
      <c r="D56" s="14">
        <v>4.2803438147252804</v>
      </c>
      <c r="E56" s="22">
        <v>4.2802132482007398</v>
      </c>
    </row>
    <row r="57" spans="2:5" x14ac:dyDescent="0.3">
      <c r="B57" s="6">
        <v>35</v>
      </c>
      <c r="C57" s="21">
        <f t="shared" si="1"/>
        <v>6581.9246929419733</v>
      </c>
      <c r="D57" s="14">
        <v>4.52533621512538</v>
      </c>
      <c r="E57" s="22">
        <v>4.5251976297139</v>
      </c>
    </row>
    <row r="58" spans="2:5" x14ac:dyDescent="0.3">
      <c r="B58" s="6">
        <v>36</v>
      </c>
      <c r="C58" s="21">
        <f t="shared" si="1"/>
        <v>6304.9006319325599</v>
      </c>
      <c r="D58" s="14">
        <v>4.7681671990351298</v>
      </c>
      <c r="E58" s="22">
        <v>4.76802045114378</v>
      </c>
    </row>
    <row r="59" spans="2:5" x14ac:dyDescent="0.3">
      <c r="B59" s="6">
        <v>37</v>
      </c>
      <c r="C59" s="21">
        <f t="shared" si="1"/>
        <v>6039.5361285690178</v>
      </c>
      <c r="D59" s="14">
        <v>5.0086432440964401</v>
      </c>
      <c r="E59" s="22">
        <v>4.9998508538187698</v>
      </c>
    </row>
    <row r="60" spans="2:5" x14ac:dyDescent="0.3">
      <c r="B60" s="6">
        <v>38</v>
      </c>
      <c r="C60" s="21">
        <f t="shared" si="1"/>
        <v>5785.3404482776004</v>
      </c>
      <c r="D60" s="14">
        <v>5.2465804783768997</v>
      </c>
      <c r="E60" s="22">
        <v>4.9998516508947501</v>
      </c>
    </row>
    <row r="61" spans="2:5" x14ac:dyDescent="0.3">
      <c r="B61" s="6">
        <v>39</v>
      </c>
      <c r="C61" s="21">
        <f t="shared" si="1"/>
        <v>5541.8435108206158</v>
      </c>
      <c r="D61" s="14">
        <v>5.4818015052992299</v>
      </c>
      <c r="E61" s="22">
        <v>4.99985183590017</v>
      </c>
    </row>
    <row r="62" spans="2:5" x14ac:dyDescent="0.3">
      <c r="B62" s="6">
        <v>40</v>
      </c>
      <c r="C62" s="21">
        <f t="shared" si="1"/>
        <v>5308.5950209841294</v>
      </c>
      <c r="D62" s="14">
        <v>5.7141397949876103</v>
      </c>
      <c r="E62" s="22">
        <v>4.99985195816003</v>
      </c>
    </row>
    <row r="63" spans="2:5" x14ac:dyDescent="0.3">
      <c r="B63" s="6">
        <v>41</v>
      </c>
      <c r="C63" s="21">
        <f t="shared" si="1"/>
        <v>5085.1636358538244</v>
      </c>
      <c r="D63" s="14">
        <v>5.9434365745923801</v>
      </c>
      <c r="E63" s="22">
        <v>4.9998520499927999</v>
      </c>
    </row>
    <row r="64" spans="2:5" x14ac:dyDescent="0.3">
      <c r="B64" s="6">
        <v>42</v>
      </c>
      <c r="C64" s="21">
        <f t="shared" si="1"/>
        <v>4871.1361671390532</v>
      </c>
      <c r="D64" s="14">
        <v>6.1695441879163599</v>
      </c>
      <c r="E64" s="22">
        <v>4.9998521313179403</v>
      </c>
    </row>
    <row r="65" spans="2:5" x14ac:dyDescent="0.3">
      <c r="B65" s="6">
        <v>43</v>
      </c>
      <c r="C65" s="21">
        <f t="shared" si="1"/>
        <v>4666.1168170699593</v>
      </c>
      <c r="D65" s="14">
        <v>6.3923234220781104</v>
      </c>
      <c r="E65" s="22">
        <v>4.9998521986584503</v>
      </c>
    </row>
    <row r="66" spans="2:5" x14ac:dyDescent="0.3">
      <c r="B66" s="6">
        <v>44</v>
      </c>
      <c r="C66" s="21">
        <f t="shared" ref="C66:C82" si="2" xml:space="preserve"> 29646*EXP(-0.043*B66)</f>
        <v>4469.7264464546324</v>
      </c>
      <c r="D66" s="14">
        <v>6.6116466384103099</v>
      </c>
      <c r="E66" s="22">
        <v>4.9998522634428504</v>
      </c>
    </row>
    <row r="67" spans="2:5" x14ac:dyDescent="0.3">
      <c r="B67" s="6">
        <v>45</v>
      </c>
      <c r="C67" s="21">
        <f t="shared" si="2"/>
        <v>4281.601873542726</v>
      </c>
      <c r="D67" s="14">
        <v>6.8273949663679998</v>
      </c>
      <c r="E67" s="22">
        <v>4.9998523187092401</v>
      </c>
    </row>
    <row r="68" spans="2:5" x14ac:dyDescent="0.3">
      <c r="B68" s="6">
        <v>46</v>
      </c>
      <c r="C68" s="21">
        <f t="shared" si="2"/>
        <v>4101.3952023989159</v>
      </c>
      <c r="D68" s="14">
        <v>7.0394613206098304</v>
      </c>
      <c r="E68" s="22">
        <v>4.9998523741844396</v>
      </c>
    </row>
    <row r="69" spans="2:5" x14ac:dyDescent="0.3">
      <c r="B69" s="6">
        <v>47</v>
      </c>
      <c r="C69" s="21">
        <f t="shared" si="2"/>
        <v>3928.773179544196</v>
      </c>
      <c r="D69" s="14">
        <v>7.2477474795504504</v>
      </c>
      <c r="E69" s="22">
        <v>4.9998524219850404</v>
      </c>
    </row>
    <row r="70" spans="2:5" x14ac:dyDescent="0.3">
      <c r="B70" s="6">
        <v>48</v>
      </c>
      <c r="C70" s="21">
        <f t="shared" si="2"/>
        <v>3763.4165776752479</v>
      </c>
      <c r="D70" s="14">
        <v>7.45216699605567</v>
      </c>
      <c r="E70" s="22">
        <v>4.9998524712572898</v>
      </c>
    </row>
    <row r="71" spans="2:5" x14ac:dyDescent="0.3">
      <c r="B71" s="6">
        <v>49</v>
      </c>
      <c r="C71" s="21">
        <f t="shared" si="2"/>
        <v>3605.0196053222048</v>
      </c>
      <c r="D71" s="14">
        <v>7.6526421775214599</v>
      </c>
      <c r="E71" s="22">
        <v>4.9998525137464496</v>
      </c>
    </row>
    <row r="72" spans="2:5" x14ac:dyDescent="0.3">
      <c r="B72" s="6">
        <v>50</v>
      </c>
      <c r="C72" s="21">
        <f t="shared" si="2"/>
        <v>3453.289341353091</v>
      </c>
      <c r="D72" s="14">
        <v>7.8491068799429202</v>
      </c>
      <c r="E72" s="22">
        <v>4.9998525583881497</v>
      </c>
    </row>
    <row r="73" spans="2:5" x14ac:dyDescent="0.3">
      <c r="B73" s="6">
        <v>51</v>
      </c>
      <c r="C73" s="21">
        <f t="shared" si="2"/>
        <v>3307.9451932792012</v>
      </c>
      <c r="D73" s="14">
        <v>8.0415034079289907</v>
      </c>
      <c r="E73" s="22">
        <v>4.9998525967886103</v>
      </c>
    </row>
    <row r="74" spans="2:5" x14ac:dyDescent="0.3">
      <c r="B74" s="6">
        <v>52</v>
      </c>
      <c r="C74" s="21">
        <f t="shared" si="2"/>
        <v>3168.7183783596315</v>
      </c>
      <c r="D74" s="14">
        <v>8.2297852248215797</v>
      </c>
      <c r="E74" s="22">
        <v>4.9998526377503696</v>
      </c>
    </row>
    <row r="75" spans="2:5" x14ac:dyDescent="0.3">
      <c r="B75" s="6">
        <v>53</v>
      </c>
      <c r="C75" s="21">
        <f t="shared" si="2"/>
        <v>3035.3514265454214</v>
      </c>
      <c r="D75" s="14">
        <v>8.4139137769891494</v>
      </c>
      <c r="E75" s="22">
        <v>4.9998526727783101</v>
      </c>
    </row>
    <row r="76" spans="2:5" x14ac:dyDescent="0.3">
      <c r="B76" s="6">
        <v>54</v>
      </c>
      <c r="C76" s="21">
        <f t="shared" si="2"/>
        <v>2907.5977043440703</v>
      </c>
      <c r="D76" s="14">
        <v>8.59386112223849</v>
      </c>
      <c r="E76" s="22">
        <v>4.99985271063432</v>
      </c>
    </row>
    <row r="77" spans="2:5" x14ac:dyDescent="0.3">
      <c r="B77" s="6">
        <v>55</v>
      </c>
      <c r="C77" s="21">
        <f t="shared" si="2"/>
        <v>2785.2209587239349</v>
      </c>
      <c r="D77" s="14">
        <v>8.7696066979046492</v>
      </c>
      <c r="E77" s="22">
        <v>4.99985274279706</v>
      </c>
    </row>
    <row r="78" spans="2:5" x14ac:dyDescent="0.3">
      <c r="B78" s="6">
        <v>56</v>
      </c>
      <c r="C78" s="21">
        <f t="shared" si="2"/>
        <v>2667.994880215072</v>
      </c>
      <c r="D78" s="14">
        <v>8.9411399016625399</v>
      </c>
      <c r="E78" s="22">
        <v>4.99985277797352</v>
      </c>
    </row>
    <row r="79" spans="2:5" x14ac:dyDescent="0.3">
      <c r="B79" s="6">
        <v>57</v>
      </c>
      <c r="C79" s="21">
        <f t="shared" si="2"/>
        <v>2555.7026843985414</v>
      </c>
      <c r="D79" s="14">
        <v>9.1084568086203301</v>
      </c>
      <c r="E79" s="22">
        <v>4.9998528075957003</v>
      </c>
    </row>
    <row r="80" spans="2:5" x14ac:dyDescent="0.3">
      <c r="B80" s="6">
        <v>58</v>
      </c>
      <c r="C80" s="21">
        <f t="shared" si="2"/>
        <v>2448.1367110102483</v>
      </c>
      <c r="D80" s="14">
        <v>9.2715627052144391</v>
      </c>
      <c r="E80" s="22">
        <v>4.9998528403686002</v>
      </c>
    </row>
    <row r="81" spans="2:5" x14ac:dyDescent="0.3">
      <c r="B81" s="6">
        <v>59</v>
      </c>
      <c r="C81" s="21">
        <f t="shared" si="2"/>
        <v>2345.0980399179552</v>
      </c>
      <c r="D81" s="14">
        <v>9.4304687793821902</v>
      </c>
      <c r="E81" s="22">
        <v>4.9998528677264202</v>
      </c>
    </row>
    <row r="82" spans="2:5" x14ac:dyDescent="0.3">
      <c r="B82" s="6">
        <v>60</v>
      </c>
      <c r="C82" s="21">
        <f t="shared" si="2"/>
        <v>2246.3961232612778</v>
      </c>
      <c r="D82" s="14">
        <v>9.5851946367813792</v>
      </c>
      <c r="E82" s="22">
        <v>4.9998528983409898</v>
      </c>
    </row>
    <row r="86" spans="2:5" ht="26.25" customHeight="1" x14ac:dyDescent="0.3">
      <c r="B86" s="73" t="s">
        <v>72</v>
      </c>
      <c r="C86" s="73"/>
    </row>
    <row r="87" spans="2:5" x14ac:dyDescent="0.3">
      <c r="B87" s="50" t="s">
        <v>70</v>
      </c>
      <c r="C87" s="50" t="s">
        <v>71</v>
      </c>
    </row>
    <row r="88" spans="2:5" x14ac:dyDescent="0.3">
      <c r="B88" s="51">
        <v>-2.0550000000000002</v>
      </c>
      <c r="C88" s="42">
        <v>0</v>
      </c>
    </row>
    <row r="89" spans="2:5" x14ac:dyDescent="0.3">
      <c r="B89" s="22">
        <v>-1.026</v>
      </c>
      <c r="C89" s="43">
        <v>0</v>
      </c>
    </row>
    <row r="90" spans="2:5" x14ac:dyDescent="0.3">
      <c r="B90" s="51">
        <v>0</v>
      </c>
      <c r="C90" s="42">
        <v>0</v>
      </c>
    </row>
    <row r="91" spans="2:5" x14ac:dyDescent="0.3">
      <c r="B91" s="22">
        <v>1.03</v>
      </c>
      <c r="C91" s="43">
        <v>1.02</v>
      </c>
    </row>
    <row r="92" spans="2:5" x14ac:dyDescent="0.3">
      <c r="B92" s="51">
        <v>2.06</v>
      </c>
      <c r="C92" s="42">
        <v>2.0499999999999998</v>
      </c>
    </row>
    <row r="93" spans="2:5" x14ac:dyDescent="0.3">
      <c r="B93" s="22">
        <v>3.08</v>
      </c>
      <c r="C93" s="43">
        <v>3.07</v>
      </c>
    </row>
    <row r="94" spans="2:5" x14ac:dyDescent="0.3">
      <c r="B94" s="51">
        <v>4.0599999999999996</v>
      </c>
      <c r="C94" s="42">
        <v>4.08</v>
      </c>
    </row>
    <row r="95" spans="2:5" x14ac:dyDescent="0.3">
      <c r="B95" s="22">
        <v>5.13</v>
      </c>
      <c r="C95" s="43">
        <v>5.04</v>
      </c>
    </row>
    <row r="96" spans="2:5" x14ac:dyDescent="0.3">
      <c r="B96" s="51">
        <v>6.14</v>
      </c>
      <c r="C96" s="42">
        <v>5.05</v>
      </c>
    </row>
    <row r="97" spans="2:3" x14ac:dyDescent="0.3">
      <c r="B97" s="22">
        <v>7.2</v>
      </c>
      <c r="C97" s="43">
        <v>5.05</v>
      </c>
    </row>
  </sheetData>
  <mergeCells count="1">
    <mergeCell ref="B86:C86"/>
  </mergeCells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C2F00-C1AB-4D64-842B-C204461DBFED}">
  <dimension ref="A1:C9"/>
  <sheetViews>
    <sheetView workbookViewId="0">
      <selection activeCell="J55" sqref="J55"/>
    </sheetView>
  </sheetViews>
  <sheetFormatPr defaultRowHeight="14.4" x14ac:dyDescent="0.3"/>
  <cols>
    <col min="2" max="2" width="11.109375" bestFit="1" customWidth="1"/>
  </cols>
  <sheetData>
    <row r="1" spans="1:3" ht="12.75" customHeight="1" thickBot="1" x14ac:dyDescent="0.35">
      <c r="A1" s="74" t="s">
        <v>72</v>
      </c>
      <c r="B1" s="75"/>
      <c r="C1" s="75"/>
    </row>
    <row r="2" spans="1:3" x14ac:dyDescent="0.3">
      <c r="A2" s="18" t="s">
        <v>9</v>
      </c>
      <c r="B2" s="18" t="s">
        <v>73</v>
      </c>
      <c r="C2" s="18" t="s">
        <v>71</v>
      </c>
    </row>
    <row r="3" spans="1:3" x14ac:dyDescent="0.3">
      <c r="A3" s="13">
        <f t="shared" ref="A3:A9" si="0">(LN(B3/29646))/-0.043</f>
        <v>17.095344527603828</v>
      </c>
      <c r="B3" s="26">
        <v>14214</v>
      </c>
      <c r="C3" s="13">
        <v>3.0000000000000001E-3</v>
      </c>
    </row>
    <row r="4" spans="1:3" x14ac:dyDescent="0.3">
      <c r="A4" s="13">
        <f t="shared" si="0"/>
        <v>20.21428612951275</v>
      </c>
      <c r="B4" s="26">
        <v>12430</v>
      </c>
      <c r="C4" s="13">
        <v>0.6</v>
      </c>
    </row>
    <row r="5" spans="1:3" x14ac:dyDescent="0.3">
      <c r="A5" s="13">
        <f t="shared" si="0"/>
        <v>22.679087008481744</v>
      </c>
      <c r="B5" s="26">
        <v>11180</v>
      </c>
      <c r="C5" s="13">
        <v>1.27</v>
      </c>
    </row>
    <row r="6" spans="1:3" x14ac:dyDescent="0.3">
      <c r="A6" s="13">
        <f t="shared" si="0"/>
        <v>25.624552416457458</v>
      </c>
      <c r="B6" s="26">
        <v>9850</v>
      </c>
      <c r="C6" s="13">
        <v>2.04</v>
      </c>
    </row>
    <row r="7" spans="1:3" x14ac:dyDescent="0.3">
      <c r="A7" s="13">
        <f t="shared" si="0"/>
        <v>28.889000440419011</v>
      </c>
      <c r="B7" s="26">
        <v>8560</v>
      </c>
      <c r="C7" s="13">
        <v>2.88</v>
      </c>
    </row>
    <row r="8" spans="1:3" x14ac:dyDescent="0.3">
      <c r="A8" s="13">
        <f t="shared" si="0"/>
        <v>32.591926998542384</v>
      </c>
      <c r="B8" s="26">
        <v>7300</v>
      </c>
      <c r="C8" s="13">
        <v>3.88</v>
      </c>
    </row>
    <row r="9" spans="1:3" x14ac:dyDescent="0.3">
      <c r="A9" s="13">
        <f t="shared" si="0"/>
        <v>34.238547648794572</v>
      </c>
      <c r="B9" s="26">
        <v>6801</v>
      </c>
      <c r="C9" s="13">
        <v>4.93</v>
      </c>
    </row>
  </sheetData>
  <sortState xmlns:xlrd2="http://schemas.microsoft.com/office/spreadsheetml/2017/richdata2" ref="A3:C9">
    <sortCondition ref="A3:A9"/>
  </sortState>
  <mergeCells count="1">
    <mergeCell ref="A1:C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CFB01-334F-4367-A5BD-F3AA1333CA30}">
  <sheetPr>
    <tabColor theme="1" tint="0.249977111117893"/>
  </sheetPr>
  <dimension ref="A1:R23"/>
  <sheetViews>
    <sheetView tabSelected="1" workbookViewId="0">
      <selection activeCell="J48" sqref="J48"/>
    </sheetView>
  </sheetViews>
  <sheetFormatPr defaultRowHeight="14.4" x14ac:dyDescent="0.3"/>
  <cols>
    <col min="1" max="1" width="6.5546875" bestFit="1" customWidth="1"/>
    <col min="2" max="2" width="13.6640625" bestFit="1" customWidth="1"/>
    <col min="3" max="11" width="11.109375" bestFit="1" customWidth="1"/>
    <col min="12" max="15" width="12.109375" bestFit="1" customWidth="1"/>
  </cols>
  <sheetData>
    <row r="1" spans="1:18" x14ac:dyDescent="0.3">
      <c r="A1" s="28" t="s">
        <v>9</v>
      </c>
      <c r="B1" s="1" t="s">
        <v>31</v>
      </c>
      <c r="C1" s="1" t="s">
        <v>32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33</v>
      </c>
      <c r="M1" s="1" t="s">
        <v>34</v>
      </c>
      <c r="N1" s="1" t="s">
        <v>35</v>
      </c>
      <c r="O1" s="1" t="s">
        <v>36</v>
      </c>
    </row>
    <row r="2" spans="1:18" x14ac:dyDescent="0.3">
      <c r="A2" s="1">
        <v>17</v>
      </c>
      <c r="B2" s="29">
        <v>5.4507226550000003E-3</v>
      </c>
      <c r="C2" s="29">
        <v>5.4511977890000004E-3</v>
      </c>
      <c r="D2" s="29">
        <v>3.8190673959999999E-3</v>
      </c>
      <c r="E2" s="29">
        <v>7.7763154390000002E-3</v>
      </c>
      <c r="F2" s="29">
        <v>9.3699999999999997E-11</v>
      </c>
      <c r="G2" s="29">
        <v>2.72E-11</v>
      </c>
      <c r="H2" s="29">
        <v>2.7099999999999999E-11</v>
      </c>
      <c r="I2" s="29">
        <v>1.9463306350000001E-3</v>
      </c>
      <c r="J2" s="29">
        <v>1.943727528E-3</v>
      </c>
      <c r="K2" s="29">
        <v>1.943727091E-3</v>
      </c>
      <c r="L2" s="29">
        <v>1.9463301980000001E-3</v>
      </c>
      <c r="M2" s="29">
        <v>9.3699999999999997E-10</v>
      </c>
      <c r="N2" s="29">
        <v>1.000000037E-2</v>
      </c>
      <c r="O2" s="29">
        <v>4.9999996319999998E-3</v>
      </c>
    </row>
    <row r="3" spans="1:18" x14ac:dyDescent="0.3">
      <c r="A3" s="1">
        <v>18</v>
      </c>
      <c r="B3" s="29">
        <v>5.4896690590000002E-3</v>
      </c>
      <c r="C3" s="29">
        <v>5.4511977890000004E-3</v>
      </c>
      <c r="D3" s="29">
        <v>4.0153560620000001E-3</v>
      </c>
      <c r="E3" s="29">
        <v>7.7763154390000002E-3</v>
      </c>
      <c r="F3" s="29">
        <v>6.9699999999999995E-7</v>
      </c>
      <c r="G3" s="29">
        <v>2.0200000000000001E-7</v>
      </c>
      <c r="H3" s="29">
        <v>2.0200000000000001E-7</v>
      </c>
      <c r="I3" s="29">
        <v>1.7528344070000001E-3</v>
      </c>
      <c r="J3" s="29">
        <v>1.963830585E-3</v>
      </c>
      <c r="K3" s="29">
        <v>1.963830146E-3</v>
      </c>
      <c r="L3" s="29">
        <v>1.752833993E-3</v>
      </c>
      <c r="M3" s="29">
        <v>8.2300000000000001E-17</v>
      </c>
      <c r="N3" s="29">
        <v>1.000000037E-2</v>
      </c>
      <c r="O3" s="29">
        <v>4.9999996339999998E-3</v>
      </c>
    </row>
    <row r="4" spans="1:18" x14ac:dyDescent="0.3">
      <c r="A4" s="1">
        <v>19</v>
      </c>
      <c r="B4" s="29">
        <v>5.5239078599999998E-3</v>
      </c>
      <c r="C4" s="29">
        <v>5.4511977890000004E-3</v>
      </c>
      <c r="D4" s="29">
        <v>4.2179262800000001E-3</v>
      </c>
      <c r="E4" s="29">
        <v>7.7763154390000002E-3</v>
      </c>
      <c r="F4" s="29">
        <v>2.8399999999999999E-6</v>
      </c>
      <c r="G4" s="29">
        <v>8.23E-7</v>
      </c>
      <c r="H4" s="29">
        <v>8.23E-7</v>
      </c>
      <c r="I4" s="29">
        <v>1.5682737279999999E-3</v>
      </c>
      <c r="J4" s="29">
        <v>1.9841726159999999E-3</v>
      </c>
      <c r="K4" s="29">
        <v>1.9841721739999999E-3</v>
      </c>
      <c r="L4" s="29">
        <v>1.568273335E-3</v>
      </c>
      <c r="M4" s="29">
        <v>8.4599999999999997E-17</v>
      </c>
      <c r="N4" s="29">
        <v>1.0000000360000001E-2</v>
      </c>
      <c r="O4" s="29">
        <v>4.9999996359999998E-3</v>
      </c>
    </row>
    <row r="5" spans="1:18" x14ac:dyDescent="0.3">
      <c r="A5" s="1">
        <v>20</v>
      </c>
      <c r="B5" s="29">
        <v>5.5533165139999997E-3</v>
      </c>
      <c r="C5" s="29">
        <v>5.4511977890000004E-3</v>
      </c>
      <c r="D5" s="29">
        <v>4.4266954769999999E-3</v>
      </c>
      <c r="E5" s="29">
        <v>7.7763154390000002E-3</v>
      </c>
      <c r="F5" s="29">
        <v>6.4500000000000001E-6</v>
      </c>
      <c r="G5" s="29">
        <v>1.8700000000000001E-6</v>
      </c>
      <c r="H5" s="29">
        <v>1.8700000000000001E-6</v>
      </c>
      <c r="I5" s="29">
        <v>1.3929997319999999E-3</v>
      </c>
      <c r="J5" s="29">
        <v>2.004737954E-3</v>
      </c>
      <c r="K5" s="29">
        <v>2.0047375100000001E-3</v>
      </c>
      <c r="L5" s="29">
        <v>1.3929993630000001E-3</v>
      </c>
      <c r="M5" s="29">
        <v>8.6999999999999996E-17</v>
      </c>
      <c r="N5" s="29">
        <v>1.0000000360000001E-2</v>
      </c>
      <c r="O5" s="29">
        <v>4.9999996370000003E-3</v>
      </c>
    </row>
    <row r="6" spans="1:18" x14ac:dyDescent="0.3">
      <c r="A6" s="1">
        <v>21</v>
      </c>
      <c r="B6" s="29">
        <v>5.5777888380000003E-3</v>
      </c>
      <c r="C6" s="29">
        <v>5.4511977890000004E-3</v>
      </c>
      <c r="D6" s="29">
        <v>4.6415597949999998E-3</v>
      </c>
      <c r="E6" s="29">
        <v>7.7763154390000002E-3</v>
      </c>
      <c r="F6" s="29">
        <v>1.1600000000000001E-5</v>
      </c>
      <c r="G6" s="29">
        <v>3.3500000000000001E-6</v>
      </c>
      <c r="H6" s="29">
        <v>3.3500000000000001E-6</v>
      </c>
      <c r="I6" s="29">
        <v>1.227332229E-3</v>
      </c>
      <c r="J6" s="29">
        <v>2.0255101500000002E-3</v>
      </c>
      <c r="K6" s="29">
        <v>2.0255097040000002E-3</v>
      </c>
      <c r="L6" s="29">
        <v>1.2273318810000001E-3</v>
      </c>
      <c r="M6" s="29">
        <v>8.9399999999999996E-17</v>
      </c>
      <c r="N6" s="29">
        <v>1.0000000360000001E-2</v>
      </c>
      <c r="O6" s="29">
        <v>4.9999996390000002E-3</v>
      </c>
    </row>
    <row r="7" spans="1:18" x14ac:dyDescent="0.3">
      <c r="A7" s="1">
        <v>22</v>
      </c>
      <c r="B7" s="29">
        <v>5.5972358249999996E-3</v>
      </c>
      <c r="C7" s="29">
        <v>5.4511977890000004E-3</v>
      </c>
      <c r="D7" s="29">
        <v>4.8623940010000003E-3</v>
      </c>
      <c r="E7" s="29">
        <v>7.7763154390000002E-3</v>
      </c>
      <c r="F7" s="29">
        <v>1.8199999999999999E-5</v>
      </c>
      <c r="G7" s="29">
        <v>5.2700000000000004E-6</v>
      </c>
      <c r="H7" s="29">
        <v>5.2700000000000004E-6</v>
      </c>
      <c r="I7" s="29">
        <v>1.071557682E-3</v>
      </c>
      <c r="J7" s="29">
        <v>2.046472023E-3</v>
      </c>
      <c r="K7" s="29">
        <v>2.0464715740000001E-3</v>
      </c>
      <c r="L7" s="29">
        <v>1.071557358E-3</v>
      </c>
      <c r="M7" s="29">
        <v>9.1799999999999995E-17</v>
      </c>
      <c r="N7" s="29">
        <v>1.0000000360000001E-2</v>
      </c>
      <c r="O7" s="29">
        <v>4.9999996410000002E-3</v>
      </c>
    </row>
    <row r="8" spans="1:18" x14ac:dyDescent="0.3">
      <c r="A8" s="1">
        <v>23</v>
      </c>
      <c r="B8" s="29">
        <v>5.611586327E-3</v>
      </c>
      <c r="C8" s="29">
        <v>5.4511977890000004E-3</v>
      </c>
      <c r="D8" s="29">
        <v>5.0890515620000002E-3</v>
      </c>
      <c r="E8" s="29">
        <v>7.7763154390000002E-3</v>
      </c>
      <c r="F8" s="29">
        <v>2.6299999999999999E-5</v>
      </c>
      <c r="G8" s="29">
        <v>7.6199999999999999E-6</v>
      </c>
      <c r="H8" s="29">
        <v>7.6199999999999999E-6</v>
      </c>
      <c r="I8" s="29">
        <v>9.2592744939999996E-4</v>
      </c>
      <c r="J8" s="29">
        <v>2.0676057059999999E-3</v>
      </c>
      <c r="K8" s="29">
        <v>2.067605255E-3</v>
      </c>
      <c r="L8" s="29">
        <v>9.2592714749999995E-4</v>
      </c>
      <c r="M8" s="29">
        <v>9.4299999999999999E-17</v>
      </c>
      <c r="N8" s="29">
        <v>1.0000000360000001E-2</v>
      </c>
      <c r="O8" s="29">
        <v>4.9999996419999998E-3</v>
      </c>
    </row>
    <row r="9" spans="1:18" x14ac:dyDescent="0.3">
      <c r="A9" s="1">
        <v>24</v>
      </c>
      <c r="B9" s="29">
        <v>5.6207875999999997E-3</v>
      </c>
      <c r="C9" s="29">
        <v>5.4511977890000004E-3</v>
      </c>
      <c r="D9" s="29">
        <v>5.3213648700000003E-3</v>
      </c>
      <c r="E9" s="29">
        <v>7.7763154390000002E-3</v>
      </c>
      <c r="F9" s="29">
        <v>3.5899999999999998E-5</v>
      </c>
      <c r="G9" s="29">
        <v>1.04E-5</v>
      </c>
      <c r="H9" s="29">
        <v>1.04E-5</v>
      </c>
      <c r="I9" s="29">
        <v>7.906562658E-4</v>
      </c>
      <c r="J9" s="29">
        <v>2.0888927119999999E-3</v>
      </c>
      <c r="K9" s="29">
        <v>2.088892258E-3</v>
      </c>
      <c r="L9" s="29">
        <v>7.9065598670000005E-4</v>
      </c>
      <c r="M9" s="29">
        <v>9.6800000000000003E-17</v>
      </c>
      <c r="N9" s="29">
        <v>1.0000000360000001E-2</v>
      </c>
      <c r="O9" s="29">
        <v>4.9999996439999998E-3</v>
      </c>
    </row>
    <row r="10" spans="1:18" x14ac:dyDescent="0.3">
      <c r="A10" s="1">
        <v>25</v>
      </c>
      <c r="B10" s="29">
        <v>5.6248057199999998E-3</v>
      </c>
      <c r="C10" s="29">
        <v>5.4511977890000004E-3</v>
      </c>
      <c r="D10" s="29">
        <v>5.5591456359999998E-3</v>
      </c>
      <c r="E10" s="29">
        <v>7.7763154390000002E-3</v>
      </c>
      <c r="F10" s="29">
        <v>4.71E-5</v>
      </c>
      <c r="G10" s="29">
        <v>1.3699999999999999E-5</v>
      </c>
      <c r="H10" s="29">
        <v>1.3699999999999999E-5</v>
      </c>
      <c r="I10" s="29">
        <v>6.6592101579999996E-4</v>
      </c>
      <c r="J10" s="29">
        <v>2.1103139879999999E-3</v>
      </c>
      <c r="K10" s="29">
        <v>2.110313532E-3</v>
      </c>
      <c r="L10" s="29">
        <v>6.6592075949999997E-4</v>
      </c>
      <c r="M10" s="29">
        <v>9.9299999999999994E-17</v>
      </c>
      <c r="N10" s="29">
        <v>1.000000035E-2</v>
      </c>
      <c r="O10" s="29">
        <v>4.9999996459999998E-3</v>
      </c>
    </row>
    <row r="11" spans="1:18" x14ac:dyDescent="0.3">
      <c r="A11" s="1">
        <v>26</v>
      </c>
      <c r="B11" s="29">
        <v>5.6236258460000002E-3</v>
      </c>
      <c r="C11" s="29">
        <v>5.4511977890000004E-3</v>
      </c>
      <c r="D11" s="29">
        <v>5.8021854359999996E-3</v>
      </c>
      <c r="E11" s="29">
        <v>7.7763154390000002E-3</v>
      </c>
      <c r="F11" s="29">
        <v>5.9799999999999997E-5</v>
      </c>
      <c r="G11" s="29">
        <v>1.73E-5</v>
      </c>
      <c r="H11" s="29">
        <v>1.73E-5</v>
      </c>
      <c r="I11" s="29">
        <v>5.5185979300000001E-4</v>
      </c>
      <c r="J11" s="29">
        <v>2.1318499909999998E-3</v>
      </c>
      <c r="K11" s="29">
        <v>2.1318495319999999E-3</v>
      </c>
      <c r="L11" s="29">
        <v>5.5185955960000005E-4</v>
      </c>
      <c r="M11" s="29">
        <v>1.0200000000000001E-16</v>
      </c>
      <c r="N11" s="29">
        <v>1.000000035E-2</v>
      </c>
      <c r="O11" s="29">
        <v>4.9999996470000002E-3</v>
      </c>
    </row>
    <row r="12" spans="1:18" x14ac:dyDescent="0.3">
      <c r="A12" s="1">
        <v>27</v>
      </c>
      <c r="B12" s="29">
        <v>5.6172523389999996E-3</v>
      </c>
      <c r="C12" s="29">
        <v>5.4511977890000004E-3</v>
      </c>
      <c r="D12" s="29">
        <v>6.0502564220000004E-3</v>
      </c>
      <c r="E12" s="29">
        <v>7.7763154390000002E-3</v>
      </c>
      <c r="F12" s="29">
        <v>7.3899999999999994E-5</v>
      </c>
      <c r="G12" s="29">
        <v>2.1399999999999998E-5</v>
      </c>
      <c r="H12" s="29">
        <v>2.1399999999999998E-5</v>
      </c>
      <c r="I12" s="29">
        <v>4.4857126400000001E-4</v>
      </c>
      <c r="J12" s="29">
        <v>2.1534807500000002E-3</v>
      </c>
      <c r="K12" s="29">
        <v>2.1534802889999999E-3</v>
      </c>
      <c r="L12" s="29">
        <v>4.4857105340000001E-4</v>
      </c>
      <c r="M12" s="29">
        <v>1.04E-16</v>
      </c>
      <c r="N12" s="29">
        <v>1.000000035E-2</v>
      </c>
      <c r="O12" s="29">
        <v>4.9999996490000002E-3</v>
      </c>
    </row>
    <row r="13" spans="1:18" x14ac:dyDescent="0.3">
      <c r="A13" s="1">
        <v>28</v>
      </c>
      <c r="B13" s="29">
        <v>5.6057087219999998E-3</v>
      </c>
      <c r="C13" s="29">
        <v>5.4511977890000004E-3</v>
      </c>
      <c r="D13" s="29">
        <v>6.3031121810000002E-3</v>
      </c>
      <c r="E13" s="29">
        <v>7.7763154390000002E-3</v>
      </c>
      <c r="F13" s="29">
        <v>8.9599999999999996E-5</v>
      </c>
      <c r="G13" s="29">
        <v>2.5999999999999998E-5</v>
      </c>
      <c r="H13" s="29">
        <v>2.5999999999999998E-5</v>
      </c>
      <c r="I13" s="29">
        <v>3.5611434149999998E-4</v>
      </c>
      <c r="J13" s="29">
        <v>2.1751859490000002E-3</v>
      </c>
      <c r="K13" s="29">
        <v>2.1751854849999998E-3</v>
      </c>
      <c r="L13" s="29">
        <v>3.5611415380000001E-4</v>
      </c>
      <c r="M13" s="29">
        <v>1.07E-16</v>
      </c>
      <c r="N13" s="29">
        <v>1.000000035E-2</v>
      </c>
      <c r="O13" s="29">
        <v>4.9999996510000002E-3</v>
      </c>
    </row>
    <row r="14" spans="1:18" x14ac:dyDescent="0.3">
      <c r="A14" s="1">
        <v>29</v>
      </c>
      <c r="B14" s="29">
        <v>5.589037503E-3</v>
      </c>
      <c r="C14" s="29">
        <v>5.4511977890000004E-3</v>
      </c>
      <c r="D14" s="29">
        <v>6.5604887369999998E-3</v>
      </c>
      <c r="E14" s="29">
        <v>7.7763154390000002E-3</v>
      </c>
      <c r="F14" s="29">
        <v>1.066867819E-4</v>
      </c>
      <c r="G14" s="29">
        <v>3.0899999999999999E-5</v>
      </c>
      <c r="H14" s="29">
        <v>3.0899999999999999E-5</v>
      </c>
      <c r="I14" s="29">
        <v>2.7450816790000002E-4</v>
      </c>
      <c r="J14" s="29">
        <v>2.1969449940000001E-3</v>
      </c>
      <c r="K14" s="29">
        <v>2.1969445280000002E-3</v>
      </c>
      <c r="L14" s="29">
        <v>2.7450800300000001E-4</v>
      </c>
      <c r="M14" s="29">
        <v>1.1E-16</v>
      </c>
      <c r="N14" s="29">
        <v>1.000000035E-2</v>
      </c>
      <c r="O14" s="29">
        <v>4.9999996519999998E-3</v>
      </c>
      <c r="R14" t="s">
        <v>48</v>
      </c>
    </row>
    <row r="15" spans="1:18" x14ac:dyDescent="0.3">
      <c r="A15" s="1">
        <v>30</v>
      </c>
      <c r="B15" s="29">
        <v>5.5672998390000001E-3</v>
      </c>
      <c r="C15" s="29">
        <v>5.4511977890000004E-3</v>
      </c>
      <c r="D15" s="29">
        <v>6.8221056949999996E-3</v>
      </c>
      <c r="E15" s="29">
        <v>7.7763154390000002E-3</v>
      </c>
      <c r="F15" s="29">
        <v>1.2521891929999999E-4</v>
      </c>
      <c r="G15" s="29">
        <v>3.6300000000000001E-5</v>
      </c>
      <c r="H15" s="29">
        <v>3.6300000000000001E-5</v>
      </c>
      <c r="I15" s="29">
        <v>2.037324095E-4</v>
      </c>
      <c r="J15" s="29">
        <v>2.2187371020000002E-3</v>
      </c>
      <c r="K15" s="29">
        <v>2.2187366329999999E-3</v>
      </c>
      <c r="L15" s="29">
        <v>2.0373226739999999E-4</v>
      </c>
      <c r="M15" s="29">
        <v>1.12E-16</v>
      </c>
      <c r="N15" s="29">
        <v>1.000000035E-2</v>
      </c>
      <c r="O15" s="29">
        <v>4.9999996539999998E-3</v>
      </c>
    </row>
    <row r="16" spans="1:18" x14ac:dyDescent="0.3">
      <c r="A16" s="1">
        <v>31</v>
      </c>
      <c r="B16" s="29">
        <v>5.540575059E-3</v>
      </c>
      <c r="C16" s="29">
        <v>5.4511977890000004E-3</v>
      </c>
      <c r="D16" s="29">
        <v>7.0876675100000003E-3</v>
      </c>
      <c r="E16" s="29">
        <v>7.7763154390000002E-3</v>
      </c>
      <c r="F16" s="29">
        <v>1.4514420239999999E-4</v>
      </c>
      <c r="G16" s="29">
        <v>4.21E-5</v>
      </c>
      <c r="H16" s="29">
        <v>4.21E-5</v>
      </c>
      <c r="I16" s="29">
        <v>1.4372785239999999E-4</v>
      </c>
      <c r="J16" s="29">
        <v>2.2405413740000002E-3</v>
      </c>
      <c r="K16" s="29">
        <v>2.2405409019999999E-3</v>
      </c>
      <c r="L16" s="29">
        <v>1.4372773300000001E-4</v>
      </c>
      <c r="M16" s="29">
        <v>1.15E-16</v>
      </c>
      <c r="N16" s="29">
        <v>1.0000000340000001E-2</v>
      </c>
      <c r="O16" s="29">
        <v>4.9999996559999997E-3</v>
      </c>
    </row>
    <row r="17" spans="1:15" x14ac:dyDescent="0.3">
      <c r="A17" s="1">
        <v>32</v>
      </c>
      <c r="B17" s="29">
        <v>5.508960058E-3</v>
      </c>
      <c r="C17" s="29">
        <v>5.4511977890000004E-3</v>
      </c>
      <c r="D17" s="29">
        <v>7.3568648620000003E-3</v>
      </c>
      <c r="E17" s="29">
        <v>7.7763154390000002E-3</v>
      </c>
      <c r="F17" s="29">
        <v>1.66423703E-4</v>
      </c>
      <c r="G17" s="29">
        <v>4.8300000000000002E-5</v>
      </c>
      <c r="H17" s="29">
        <v>4.8300000000000002E-5</v>
      </c>
      <c r="I17" s="29">
        <v>9.4400000000000004E-5</v>
      </c>
      <c r="J17" s="29">
        <v>2.2623368790000002E-3</v>
      </c>
      <c r="K17" s="29">
        <v>2.2623364049999999E-3</v>
      </c>
      <c r="L17" s="29">
        <v>9.4400000000000004E-5</v>
      </c>
      <c r="M17" s="29">
        <v>1.1799999999999999E-16</v>
      </c>
      <c r="N17" s="29">
        <v>1.0000000340000001E-2</v>
      </c>
      <c r="O17" s="29">
        <v>4.9999996579999997E-3</v>
      </c>
    </row>
    <row r="18" spans="1:15" x14ac:dyDescent="0.3">
      <c r="A18" s="1">
        <v>33</v>
      </c>
      <c r="B18" s="29">
        <v>5.4725685520000001E-3</v>
      </c>
      <c r="C18" s="29">
        <v>5.4511977890000004E-3</v>
      </c>
      <c r="D18" s="29">
        <v>7.6293761439999996E-3</v>
      </c>
      <c r="E18" s="29">
        <v>7.7763154390000002E-3</v>
      </c>
      <c r="F18" s="29">
        <v>1.8901384600000001E-4</v>
      </c>
      <c r="G18" s="29">
        <v>5.4799999999999997E-5</v>
      </c>
      <c r="H18" s="29">
        <v>5.4799999999999997E-5</v>
      </c>
      <c r="I18" s="29">
        <v>5.5600000000000003E-5</v>
      </c>
      <c r="J18" s="29">
        <v>2.2841027350000002E-3</v>
      </c>
      <c r="K18" s="29">
        <v>2.2841022589999999E-3</v>
      </c>
      <c r="L18" s="29">
        <v>5.5600000000000003E-5</v>
      </c>
      <c r="M18" s="29">
        <v>1.2E-16</v>
      </c>
      <c r="N18" s="29">
        <v>1.0000000340000001E-2</v>
      </c>
      <c r="O18" s="29">
        <v>4.9999996590000002E-3</v>
      </c>
    </row>
    <row r="19" spans="1:15" x14ac:dyDescent="0.3">
      <c r="A19" s="1">
        <v>34</v>
      </c>
      <c r="B19" s="29">
        <v>5.431530217E-3</v>
      </c>
      <c r="C19" s="29">
        <v>5.4511977890000004E-3</v>
      </c>
      <c r="D19" s="29">
        <v>7.9048690200000001E-3</v>
      </c>
      <c r="E19" s="29">
        <v>7.7763154390000002E-3</v>
      </c>
      <c r="F19" s="29">
        <v>2.1286669389999999E-4</v>
      </c>
      <c r="G19" s="29">
        <v>6.1699999999999995E-5</v>
      </c>
      <c r="H19" s="29">
        <v>6.1699999999999995E-5</v>
      </c>
      <c r="I19" s="29">
        <v>2.72E-5</v>
      </c>
      <c r="J19" s="29">
        <v>2.3058181929999999E-3</v>
      </c>
      <c r="K19" s="29">
        <v>2.3058177140000001E-3</v>
      </c>
      <c r="L19" s="29">
        <v>2.72E-5</v>
      </c>
      <c r="M19" s="29">
        <v>1.23E-16</v>
      </c>
      <c r="N19" s="29">
        <v>1.0000000340000001E-2</v>
      </c>
      <c r="O19" s="29">
        <v>4.9999996610000002E-3</v>
      </c>
    </row>
    <row r="20" spans="1:15" x14ac:dyDescent="0.3">
      <c r="A20" s="1">
        <v>35</v>
      </c>
      <c r="B20" s="29">
        <v>5.3859897259999996E-3</v>
      </c>
      <c r="C20" s="29">
        <v>5.4511977890000004E-3</v>
      </c>
      <c r="D20" s="29">
        <v>8.1830020629999993E-3</v>
      </c>
      <c r="E20" s="29">
        <v>7.7763154390000002E-3</v>
      </c>
      <c r="F20" s="29">
        <v>2.3793026179999999E-4</v>
      </c>
      <c r="G20" s="29">
        <v>6.8999999999999997E-5</v>
      </c>
      <c r="H20" s="29">
        <v>6.8999999999999997E-5</v>
      </c>
      <c r="I20" s="29">
        <v>8.9299999999999992E-6</v>
      </c>
      <c r="J20" s="29">
        <v>2.32746271E-3</v>
      </c>
      <c r="K20" s="29">
        <v>2.3274622290000001E-3</v>
      </c>
      <c r="L20" s="29">
        <v>8.9299999999999992E-6</v>
      </c>
      <c r="M20" s="29">
        <v>1.26E-16</v>
      </c>
      <c r="N20" s="29">
        <v>1.0000000340000001E-2</v>
      </c>
      <c r="O20" s="29">
        <v>4.9999996630000001E-3</v>
      </c>
    </row>
    <row r="21" spans="1:15" x14ac:dyDescent="0.3">
      <c r="A21" s="1">
        <v>36</v>
      </c>
      <c r="B21" s="29">
        <v>5.3361056810000002E-3</v>
      </c>
      <c r="C21" s="29">
        <v>5.4511977890000004E-3</v>
      </c>
      <c r="D21" s="29">
        <v>8.4634264399999996E-3</v>
      </c>
      <c r="E21" s="29">
        <v>7.7763154390000002E-3</v>
      </c>
      <c r="F21" s="29">
        <v>2.6414885750000001E-4</v>
      </c>
      <c r="G21" s="29">
        <v>7.6600000000000005E-5</v>
      </c>
      <c r="H21" s="29">
        <v>7.6600000000000005E-5</v>
      </c>
      <c r="I21" s="29">
        <v>6.1399999999999997E-7</v>
      </c>
      <c r="J21" s="29">
        <v>2.3490160320000001E-3</v>
      </c>
      <c r="K21" s="29">
        <v>2.3490155479999998E-3</v>
      </c>
      <c r="L21" s="29">
        <v>6.1399999999999997E-7</v>
      </c>
      <c r="M21" s="29">
        <v>1.2999999999999999E-16</v>
      </c>
      <c r="N21" s="29">
        <v>1.0000000340000001E-2</v>
      </c>
      <c r="O21" s="29">
        <v>4.9999996639999997E-3</v>
      </c>
    </row>
    <row r="22" spans="1:15" x14ac:dyDescent="0.3">
      <c r="A22" s="1">
        <v>37</v>
      </c>
      <c r="B22" s="29">
        <v>5.2820494669999999E-3</v>
      </c>
      <c r="C22" s="29">
        <v>5.4511977890000004E-3</v>
      </c>
      <c r="D22" s="29">
        <v>8.7457876350000002E-3</v>
      </c>
      <c r="E22" s="29">
        <v>7.7763154390000002E-3</v>
      </c>
      <c r="F22" s="29">
        <v>2.9146344350000001E-4</v>
      </c>
      <c r="G22" s="29">
        <v>8.4499999999999994E-5</v>
      </c>
      <c r="H22" s="29">
        <v>8.4499999999999994E-5</v>
      </c>
      <c r="I22" s="29">
        <v>1.9599999999999999E-6</v>
      </c>
      <c r="J22" s="29">
        <v>2.370458268E-3</v>
      </c>
      <c r="K22" s="29">
        <v>2.3704577810000002E-3</v>
      </c>
      <c r="L22" s="29">
        <v>1.9599999999999999E-6</v>
      </c>
      <c r="M22" s="29">
        <v>7.4700000000000001E-9</v>
      </c>
      <c r="N22" s="29">
        <v>1.000000033E-2</v>
      </c>
      <c r="O22" s="29">
        <v>4.9999996659999997E-3</v>
      </c>
    </row>
    <row r="23" spans="1:15" x14ac:dyDescent="0.3">
      <c r="B23" s="76" t="s">
        <v>45</v>
      </c>
      <c r="C23" s="77"/>
      <c r="D23" s="77"/>
      <c r="E23" s="78"/>
      <c r="F23" s="76" t="s">
        <v>46</v>
      </c>
      <c r="G23" s="77"/>
      <c r="H23" s="77"/>
      <c r="I23" s="77"/>
      <c r="J23" s="77"/>
      <c r="K23" s="77"/>
      <c r="L23" s="78"/>
      <c r="M23" s="76" t="s">
        <v>47</v>
      </c>
      <c r="N23" s="77"/>
      <c r="O23" s="78"/>
    </row>
  </sheetData>
  <mergeCells count="3">
    <mergeCell ref="B23:E23"/>
    <mergeCell ref="F23:L23"/>
    <mergeCell ref="M23:O23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EE449-94EF-4661-8B52-A05DFB41E0AF}">
  <sheetPr>
    <tabColor theme="1" tint="0.249977111117893"/>
  </sheetPr>
  <dimension ref="A1:I11"/>
  <sheetViews>
    <sheetView workbookViewId="0">
      <selection activeCell="B3" sqref="B3:H6"/>
    </sheetView>
  </sheetViews>
  <sheetFormatPr defaultRowHeight="14.4" x14ac:dyDescent="0.3"/>
  <cols>
    <col min="1" max="1" width="25.88671875" customWidth="1"/>
    <col min="2" max="2" width="16.6640625" bestFit="1" customWidth="1"/>
  </cols>
  <sheetData>
    <row r="1" spans="1:9" x14ac:dyDescent="0.3">
      <c r="A1" s="80" t="s">
        <v>60</v>
      </c>
      <c r="B1" s="1" t="s">
        <v>62</v>
      </c>
      <c r="C1" s="80"/>
      <c r="D1" s="80"/>
      <c r="E1" s="80"/>
      <c r="F1" s="80"/>
      <c r="G1" s="80"/>
    </row>
    <row r="2" spans="1:9" x14ac:dyDescent="0.3">
      <c r="A2" s="80"/>
      <c r="B2" s="1" t="s">
        <v>61</v>
      </c>
      <c r="C2" s="80"/>
      <c r="D2" s="80"/>
      <c r="E2" s="80"/>
      <c r="F2" s="80"/>
      <c r="G2" s="80"/>
    </row>
    <row r="3" spans="1:9" ht="14.4" customHeight="1" x14ac:dyDescent="0.3">
      <c r="A3" s="80" t="s">
        <v>63</v>
      </c>
      <c r="B3" s="79" t="s">
        <v>66</v>
      </c>
      <c r="C3" s="79"/>
      <c r="D3" s="79"/>
      <c r="E3" s="79"/>
      <c r="F3" s="79"/>
      <c r="G3" s="79"/>
      <c r="H3" s="79"/>
    </row>
    <row r="4" spans="1:9" x14ac:dyDescent="0.3">
      <c r="A4" s="80"/>
      <c r="B4" s="79"/>
      <c r="C4" s="79"/>
      <c r="D4" s="79"/>
      <c r="E4" s="79"/>
      <c r="F4" s="79"/>
      <c r="G4" s="79"/>
      <c r="H4" s="79"/>
    </row>
    <row r="5" spans="1:9" x14ac:dyDescent="0.3">
      <c r="A5" s="80"/>
      <c r="B5" s="79"/>
      <c r="C5" s="79"/>
      <c r="D5" s="79"/>
      <c r="E5" s="79"/>
      <c r="F5" s="79"/>
      <c r="G5" s="79"/>
      <c r="H5" s="79"/>
    </row>
    <row r="6" spans="1:9" x14ac:dyDescent="0.3">
      <c r="A6" s="80"/>
      <c r="B6" s="79"/>
      <c r="C6" s="79"/>
      <c r="D6" s="79"/>
      <c r="E6" s="79"/>
      <c r="F6" s="79"/>
      <c r="G6" s="79"/>
      <c r="H6" s="79"/>
    </row>
    <row r="7" spans="1:9" x14ac:dyDescent="0.3">
      <c r="A7" s="80" t="s">
        <v>64</v>
      </c>
      <c r="B7" s="59"/>
      <c r="C7" s="59"/>
      <c r="D7" s="59"/>
      <c r="E7" s="59"/>
      <c r="F7" s="59"/>
      <c r="G7" s="59"/>
      <c r="H7" s="59"/>
      <c r="I7" s="59"/>
    </row>
    <row r="8" spans="1:9" x14ac:dyDescent="0.3">
      <c r="A8" s="80"/>
      <c r="B8" s="59"/>
      <c r="C8" s="59"/>
      <c r="D8" s="59"/>
      <c r="E8" s="59"/>
      <c r="F8" s="59"/>
      <c r="G8" s="59"/>
      <c r="H8" s="59"/>
      <c r="I8" s="59"/>
    </row>
    <row r="9" spans="1:9" x14ac:dyDescent="0.3">
      <c r="A9" s="59" t="s">
        <v>65</v>
      </c>
    </row>
    <row r="10" spans="1:9" x14ac:dyDescent="0.3">
      <c r="A10" s="59"/>
      <c r="B10" s="59"/>
      <c r="C10" s="59"/>
      <c r="D10" s="59"/>
      <c r="E10" s="59"/>
      <c r="F10" s="59"/>
      <c r="G10" s="59"/>
    </row>
    <row r="11" spans="1:9" x14ac:dyDescent="0.3">
      <c r="B11" s="59"/>
      <c r="C11" s="59"/>
      <c r="D11" s="59"/>
      <c r="E11" s="59"/>
      <c r="F11" s="59"/>
      <c r="G11" s="59"/>
    </row>
  </sheetData>
  <mergeCells count="9">
    <mergeCell ref="A9:A10"/>
    <mergeCell ref="B10:G11"/>
    <mergeCell ref="B3:H6"/>
    <mergeCell ref="A3:A6"/>
    <mergeCell ref="A1:A2"/>
    <mergeCell ref="C1:G2"/>
    <mergeCell ref="A7:A8"/>
    <mergeCell ref="B7:D8"/>
    <mergeCell ref="E7:I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8</vt:i4>
      </vt:variant>
    </vt:vector>
  </HeadingPairs>
  <TitlesOfParts>
    <vt:vector size="8" baseType="lpstr">
      <vt:lpstr>Curva Geral</vt:lpstr>
      <vt:lpstr>Curva Especifica</vt:lpstr>
      <vt:lpstr>wheatstone</vt:lpstr>
      <vt:lpstr>ia</vt:lpstr>
      <vt:lpstr>precision limiter</vt:lpstr>
      <vt:lpstr>Circuito Completo</vt:lpstr>
      <vt:lpstr>power_table</vt:lpstr>
      <vt:lpstr>Sensibilidade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Augusto Teixeira Afonso</dc:creator>
  <cp:keywords/>
  <dc:description/>
  <cp:lastModifiedBy>Daniel Augusto Teixeira Afonso</cp:lastModifiedBy>
  <cp:revision/>
  <dcterms:created xsi:type="dcterms:W3CDTF">2026-02-24T21:13:28Z</dcterms:created>
  <dcterms:modified xsi:type="dcterms:W3CDTF">2026-04-26T19:28:38Z</dcterms:modified>
  <cp:category/>
  <cp:contentStatus/>
</cp:coreProperties>
</file>