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40570_isep_ipp_pt/Documents/ELEAPL/2_parte/"/>
    </mc:Choice>
  </mc:AlternateContent>
  <xr:revisionPtr revIDLastSave="665" documentId="11_F25DC773A252ABDACC1048B2D15F6B685BDE58EE" xr6:coauthVersionLast="47" xr6:coauthVersionMax="47" xr10:uidLastSave="{0DEE01BE-B583-48AA-87FA-F9F0BF3E97EA}"/>
  <bookViews>
    <workbookView xWindow="-120" yWindow="-120" windowWidth="38640" windowHeight="21120" xr2:uid="{00000000-000D-0000-FFFF-FFFF00000000}"/>
  </bookViews>
  <sheets>
    <sheet name="CONTROLO_CORRENTE" sheetId="1" r:id="rId1"/>
    <sheet name="CONTROLO_PWM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2" i="1"/>
  <c r="B63" i="1"/>
  <c r="B64" i="1"/>
  <c r="B65" i="1"/>
  <c r="B60" i="1"/>
</calcChain>
</file>

<file path=xl/sharedStrings.xml><?xml version="1.0" encoding="utf-8"?>
<sst xmlns="http://schemas.openxmlformats.org/spreadsheetml/2006/main" count="91" uniqueCount="40">
  <si>
    <t xml:space="preserve">Def. IMAX IMIN ( R = 200 Ohm) </t>
  </si>
  <si>
    <t>Experimental</t>
  </si>
  <si>
    <t>Simulado</t>
  </si>
  <si>
    <t>Ufonte (V)</t>
  </si>
  <si>
    <t>ILED (mA)</t>
  </si>
  <si>
    <t>ULED (V)</t>
  </si>
  <si>
    <t>Ufonte (V)2</t>
  </si>
  <si>
    <t>ILED (mA)3</t>
  </si>
  <si>
    <t>ULED (V)4</t>
  </si>
  <si>
    <t>V2 (V)</t>
  </si>
  <si>
    <t>V0 (V)</t>
  </si>
  <si>
    <t>Coletor TBJ</t>
  </si>
  <si>
    <t>IR (mA)</t>
  </si>
  <si>
    <t>ILed (mA)</t>
  </si>
  <si>
    <t>Oscilador Triangular (0 - 5 V)</t>
  </si>
  <si>
    <t>1º Andar</t>
  </si>
  <si>
    <t>2º Andar</t>
  </si>
  <si>
    <t>3º Andar</t>
  </si>
  <si>
    <t>Teórico</t>
  </si>
  <si>
    <t>Frequência (Hz)</t>
  </si>
  <si>
    <t>V U1  (V) Amplitude</t>
  </si>
  <si>
    <t>V1 U1 Limitado  (V) Amplitude</t>
  </si>
  <si>
    <t>V U2  (V) Amplitude</t>
  </si>
  <si>
    <t>V U3 (V) Amplitude</t>
  </si>
  <si>
    <t>± Saturação</t>
  </si>
  <si>
    <t>± 13.5</t>
  </si>
  <si>
    <t>± 12.6</t>
  </si>
  <si>
    <t>± 5.7</t>
  </si>
  <si>
    <t>± 5.44</t>
  </si>
  <si>
    <t>± 2.48</t>
  </si>
  <si>
    <t>± 2.45</t>
  </si>
  <si>
    <t>0 - 4.9</t>
  </si>
  <si>
    <t>0 - 4.5</t>
  </si>
  <si>
    <t>± 2.57</t>
  </si>
  <si>
    <t>0 - 5</t>
  </si>
  <si>
    <t>Amplificador de Corrente</t>
  </si>
  <si>
    <t>Cond. Sinal</t>
  </si>
  <si>
    <r>
      <t>V</t>
    </r>
    <r>
      <rPr>
        <b/>
        <vertAlign val="subscript"/>
        <sz val="11"/>
        <color theme="1"/>
        <rFont val="Calibri"/>
        <family val="2"/>
      </rPr>
      <t xml:space="preserve">TH </t>
    </r>
    <r>
      <rPr>
        <b/>
        <sz val="11"/>
        <color theme="1"/>
        <rFont val="Calibri"/>
        <family val="2"/>
      </rPr>
      <t>(V)</t>
    </r>
  </si>
  <si>
    <t>Comutação Superior (2.5V) (V)</t>
  </si>
  <si>
    <t>Comutação Inferior (2.5V)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</si>
</sst>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Font="1" applyBorder="1"/>
    <xf numFmtId="0" fontId="0" fillId="0" borderId="5" xfId="0" applyFont="1" applyBorder="1"/>
    <xf numFmtId="2" fontId="0" fillId="0" borderId="4" xfId="0" applyNumberFormat="1" applyFont="1" applyBorder="1"/>
    <xf numFmtId="2" fontId="0" fillId="0" borderId="6" xfId="0" applyNumberFormat="1" applyFont="1" applyBorder="1"/>
  </cellXfs>
  <cellStyles count="1">
    <cellStyle name="Normal" xfId="0" builtinId="0"/>
  </cellStyles>
  <dxfs count="28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PSPICE</a:t>
            </a:r>
            <a:r>
              <a:rPr lang="pt-PT" baseline="0"/>
              <a:t> V0 = f(V2)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054336509084842"/>
                  <c:y val="-9.07770285655733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CONTROLO_CORRENTE!$C$11:$C$21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CONTROLO_CORRENTE!$D$11:$D$21</c:f>
              <c:numCache>
                <c:formatCode>0.00</c:formatCode>
                <c:ptCount val="11"/>
                <c:pt idx="0">
                  <c:v>3.28916227983781</c:v>
                </c:pt>
                <c:pt idx="1">
                  <c:v>3.9189986241479602</c:v>
                </c:pt>
                <c:pt idx="2">
                  <c:v>4.5488349216590098</c:v>
                </c:pt>
                <c:pt idx="3">
                  <c:v>5.1786711721453296</c:v>
                </c:pt>
                <c:pt idx="4">
                  <c:v>5.8085073753799303</c:v>
                </c:pt>
                <c:pt idx="5">
                  <c:v>6.43834353113456</c:v>
                </c:pt>
                <c:pt idx="6">
                  <c:v>7.0681796391796503</c:v>
                </c:pt>
                <c:pt idx="7">
                  <c:v>7.6980156992843103</c:v>
                </c:pt>
                <c:pt idx="8">
                  <c:v>8.3278517112163009</c:v>
                </c:pt>
                <c:pt idx="9">
                  <c:v>8.9576876747420808</c:v>
                </c:pt>
                <c:pt idx="10">
                  <c:v>9.5875235896267501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9-425C-AB38-8F70F94AB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90607"/>
        <c:axId val="672688687"/>
      </c:scatterChart>
      <c:valAx>
        <c:axId val="67269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V2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2688687"/>
        <c:crosses val="autoZero"/>
        <c:crossBetween val="midCat"/>
      </c:valAx>
      <c:valAx>
        <c:axId val="67268868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269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Experimental</a:t>
            </a:r>
            <a:r>
              <a:rPr lang="pt-PT" baseline="0"/>
              <a:t> V0 = f(V2)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032536019762342"/>
                  <c:y val="-9.98140647592590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CONTROLO_CORRENTE!$A$11:$A$18</c:f>
              <c:numCache>
                <c:formatCode>0.00</c:formatCode>
                <c:ptCount val="8"/>
                <c:pt idx="0">
                  <c:v>0</c:v>
                </c:pt>
                <c:pt idx="1">
                  <c:v>0.60099999999999998</c:v>
                </c:pt>
                <c:pt idx="2">
                  <c:v>0.91500000000000004</c:v>
                </c:pt>
                <c:pt idx="3">
                  <c:v>1.8480000000000001</c:v>
                </c:pt>
                <c:pt idx="4">
                  <c:v>2.7069999999999999</c:v>
                </c:pt>
                <c:pt idx="5">
                  <c:v>3.375</c:v>
                </c:pt>
                <c:pt idx="6">
                  <c:v>4.4630000000000001</c:v>
                </c:pt>
                <c:pt idx="7">
                  <c:v>5.2729999999999997</c:v>
                </c:pt>
              </c:numCache>
            </c:numRef>
          </c:xVal>
          <c:yVal>
            <c:numRef>
              <c:f>CONTROLO_CORRENTE!$B$11:$B$18</c:f>
              <c:numCache>
                <c:formatCode>0.00</c:formatCode>
                <c:ptCount val="8"/>
                <c:pt idx="0">
                  <c:v>3.4</c:v>
                </c:pt>
                <c:pt idx="1">
                  <c:v>3.996</c:v>
                </c:pt>
                <c:pt idx="2">
                  <c:v>4.3410000000000002</c:v>
                </c:pt>
                <c:pt idx="3">
                  <c:v>5.516</c:v>
                </c:pt>
                <c:pt idx="4">
                  <c:v>6.59</c:v>
                </c:pt>
                <c:pt idx="5">
                  <c:v>7.46</c:v>
                </c:pt>
                <c:pt idx="6">
                  <c:v>8.76</c:v>
                </c:pt>
                <c:pt idx="7">
                  <c:v>9.86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B-41BC-8F4A-FF0F7862F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87375"/>
        <c:axId val="697401775"/>
      </c:scatterChart>
      <c:valAx>
        <c:axId val="69738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V2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7401775"/>
        <c:crosses val="autoZero"/>
        <c:crossBetween val="midCat"/>
      </c:valAx>
      <c:valAx>
        <c:axId val="69740177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7387375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PSPICE ILED = f(V2)</a:t>
            </a:r>
            <a:r>
              <a:rPr lang="pt-PT" baseline="0"/>
              <a:t>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3319456983058693E-3"/>
                  <c:y val="-6.81844380813589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6817335132032982E-2"/>
                  <c:y val="-4.925184725558731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CONTROLO_CORRENTE!$F$27:$F$37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CONTROLO_CORRENTE!$I$27:$I$37</c:f>
              <c:numCache>
                <c:formatCode>0.00</c:formatCode>
                <c:ptCount val="11"/>
                <c:pt idx="0">
                  <c:v>1.9639806289999999</c:v>
                </c:pt>
                <c:pt idx="1">
                  <c:v>4.9635928849999997</c:v>
                </c:pt>
                <c:pt idx="2">
                  <c:v>8.0210231400000005</c:v>
                </c:pt>
                <c:pt idx="3">
                  <c:v>11.099480890000001</c:v>
                </c:pt>
                <c:pt idx="4">
                  <c:v>14.187042870000001</c:v>
                </c:pt>
                <c:pt idx="5">
                  <c:v>17.28150814</c:v>
                </c:pt>
                <c:pt idx="6">
                  <c:v>20.390765909999999</c:v>
                </c:pt>
                <c:pt idx="7">
                  <c:v>23.488904770000001</c:v>
                </c:pt>
                <c:pt idx="8">
                  <c:v>26.590234639999998</c:v>
                </c:pt>
                <c:pt idx="9">
                  <c:v>29.694772390000001</c:v>
                </c:pt>
                <c:pt idx="10">
                  <c:v>32.801093739999999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1-46B7-B36E-48F82BC76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47519"/>
        <c:axId val="915240319"/>
      </c:scatterChart>
      <c:valAx>
        <c:axId val="915247519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V2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5240319"/>
        <c:crosses val="autoZero"/>
        <c:crossBetween val="midCat"/>
        <c:majorUnit val="0.5"/>
      </c:valAx>
      <c:valAx>
        <c:axId val="91524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 /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524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Experimental</a:t>
            </a:r>
            <a:r>
              <a:rPr lang="pt-PT" baseline="0"/>
              <a:t> ILED = f(V2)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913226682793952E-3"/>
                  <c:y val="-4.8192393598948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9906895178304021E-2"/>
                  <c:y val="9.28311229690363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CONTROLO_CORRENTE!$A$27:$A$33</c:f>
              <c:numCache>
                <c:formatCode>0.00</c:formatCode>
                <c:ptCount val="7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2.71</c:v>
                </c:pt>
                <c:pt idx="4">
                  <c:v>3.3</c:v>
                </c:pt>
                <c:pt idx="5">
                  <c:v>4.57</c:v>
                </c:pt>
                <c:pt idx="6">
                  <c:v>5</c:v>
                </c:pt>
              </c:numCache>
            </c:numRef>
          </c:xVal>
          <c:yVal>
            <c:numRef>
              <c:f>CONTROLO_CORRENTE!$D$27:$D$33</c:f>
              <c:numCache>
                <c:formatCode>0.00</c:formatCode>
                <c:ptCount val="7"/>
                <c:pt idx="0">
                  <c:v>5.26</c:v>
                </c:pt>
                <c:pt idx="1">
                  <c:v>9.3000000000000007</c:v>
                </c:pt>
                <c:pt idx="2">
                  <c:v>14.95</c:v>
                </c:pt>
                <c:pt idx="3">
                  <c:v>20.170000000000002</c:v>
                </c:pt>
                <c:pt idx="4">
                  <c:v>23.2</c:v>
                </c:pt>
                <c:pt idx="5">
                  <c:v>28.3</c:v>
                </c:pt>
                <c:pt idx="6">
                  <c:v>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D-45A1-A512-52243A497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319039"/>
        <c:axId val="915303199"/>
      </c:scatterChart>
      <c:valAx>
        <c:axId val="915319039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V2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5303199"/>
        <c:crosses val="autoZero"/>
        <c:crossBetween val="midCat"/>
        <c:majorUnit val="0.5"/>
      </c:valAx>
      <c:valAx>
        <c:axId val="9153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 /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531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Experimental</a:t>
            </a:r>
            <a:r>
              <a:rPr lang="pt-PT" baseline="0"/>
              <a:t> Circuito </a:t>
            </a:r>
            <a:r>
              <a:rPr lang="pt-PT" u="sng" baseline="0"/>
              <a:t>Separado </a:t>
            </a:r>
            <a:r>
              <a:rPr lang="pt-PT" baseline="0"/>
              <a:t>Amp. Corrente </a:t>
            </a:r>
            <a:r>
              <a:rPr lang="pt-PT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ILED = f(V0)</a:t>
            </a:r>
            <a:r>
              <a:rPr lang="pt-PT" baseline="0"/>
              <a:t> </a:t>
            </a:r>
            <a:endParaRPr lang="pt-PT"/>
          </a:p>
        </c:rich>
      </c:tx>
      <c:layout>
        <c:manualLayout>
          <c:xMode val="edge"/>
          <c:yMode val="edge"/>
          <c:x val="0.15965240224278376"/>
          <c:y val="1.5337723100446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754712663862925E-2"/>
                  <c:y val="9.973205765246746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CONTROLO_CORRENTE!$A$45:$A$50</c:f>
              <c:numCache>
                <c:formatCode>0.00</c:formatCode>
                <c:ptCount val="6"/>
                <c:pt idx="0">
                  <c:v>3.25</c:v>
                </c:pt>
                <c:pt idx="1">
                  <c:v>4.5999999999999996</c:v>
                </c:pt>
                <c:pt idx="2">
                  <c:v>5.9</c:v>
                </c:pt>
                <c:pt idx="3">
                  <c:v>6.9</c:v>
                </c:pt>
                <c:pt idx="4">
                  <c:v>8.9</c:v>
                </c:pt>
                <c:pt idx="5">
                  <c:v>9.5500000000000007</c:v>
                </c:pt>
              </c:numCache>
            </c:numRef>
          </c:xVal>
          <c:yVal>
            <c:numRef>
              <c:f>CONTROLO_CORRENTE!$B$45:$B$50</c:f>
              <c:numCache>
                <c:formatCode>0.00</c:formatCode>
                <c:ptCount val="6"/>
                <c:pt idx="0">
                  <c:v>4.79</c:v>
                </c:pt>
                <c:pt idx="1">
                  <c:v>9.77</c:v>
                </c:pt>
                <c:pt idx="2">
                  <c:v>15</c:v>
                </c:pt>
                <c:pt idx="3">
                  <c:v>19.55</c:v>
                </c:pt>
                <c:pt idx="4">
                  <c:v>28.31</c:v>
                </c:pt>
                <c:pt idx="5">
                  <c:v>30.6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0-4A40-8215-31A81789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40928"/>
        <c:axId val="1259141408"/>
      </c:scatterChart>
      <c:valAx>
        <c:axId val="125914092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1408"/>
        <c:crosses val="autoZero"/>
        <c:crossBetween val="midCat"/>
        <c:majorUnit val="1"/>
      </c:valAx>
      <c:valAx>
        <c:axId val="12591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 /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Experimental Circuito </a:t>
            </a:r>
            <a:r>
              <a:rPr lang="pt-PT"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Conjunto</a:t>
            </a: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Amp. Corrente</a:t>
            </a:r>
          </a:p>
          <a:p>
            <a:pPr>
              <a:defRPr/>
            </a:pPr>
            <a:endParaRPr lang="pt-PT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1.1147648713756293E-2"/>
          <c:y val="2.804597921137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898097901410725E-2"/>
                  <c:y val="-0.233756794668159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CONTROLO_CORRENTE!$B$27:$B$33</c:f>
              <c:numCache>
                <c:formatCode>0.00</c:formatCode>
                <c:ptCount val="7"/>
                <c:pt idx="0">
                  <c:v>3.31</c:v>
                </c:pt>
                <c:pt idx="1">
                  <c:v>4.25</c:v>
                </c:pt>
                <c:pt idx="2">
                  <c:v>5.53</c:v>
                </c:pt>
                <c:pt idx="3">
                  <c:v>6.69</c:v>
                </c:pt>
                <c:pt idx="4">
                  <c:v>7.43</c:v>
                </c:pt>
                <c:pt idx="5">
                  <c:v>8.9600000000000009</c:v>
                </c:pt>
                <c:pt idx="6">
                  <c:v>9.6</c:v>
                </c:pt>
              </c:numCache>
            </c:numRef>
          </c:xVal>
          <c:yVal>
            <c:numRef>
              <c:f>CONTROLO_CORRENTE!$D$27:$D$33</c:f>
              <c:numCache>
                <c:formatCode>0.00</c:formatCode>
                <c:ptCount val="7"/>
                <c:pt idx="0">
                  <c:v>5.26</c:v>
                </c:pt>
                <c:pt idx="1">
                  <c:v>9.3000000000000007</c:v>
                </c:pt>
                <c:pt idx="2">
                  <c:v>14.95</c:v>
                </c:pt>
                <c:pt idx="3">
                  <c:v>20.170000000000002</c:v>
                </c:pt>
                <c:pt idx="4">
                  <c:v>23.2</c:v>
                </c:pt>
                <c:pt idx="5">
                  <c:v>28.3</c:v>
                </c:pt>
                <c:pt idx="6">
                  <c:v>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F-4CEC-B248-B6A49E016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44816"/>
        <c:axId val="1436245296"/>
      </c:scatterChart>
      <c:valAx>
        <c:axId val="143624481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6245296"/>
        <c:crosses val="autoZero"/>
        <c:crossBetween val="midCat"/>
        <c:majorUnit val="1"/>
      </c:valAx>
      <c:valAx>
        <c:axId val="14362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</a:t>
                </a:r>
                <a:r>
                  <a:rPr lang="pt-PT" baseline="0"/>
                  <a:t> /mA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624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PSPICE</a:t>
            </a:r>
            <a:r>
              <a:rPr lang="pt-PT" baseline="0"/>
              <a:t> Circuito </a:t>
            </a:r>
            <a:r>
              <a:rPr lang="pt-PT" u="sng" baseline="0"/>
              <a:t>Separado</a:t>
            </a:r>
            <a:r>
              <a:rPr lang="pt-PT" baseline="0"/>
              <a:t> Amp. Corrente </a:t>
            </a:r>
          </a:p>
          <a:p>
            <a:pPr>
              <a:defRPr/>
            </a:pPr>
            <a:r>
              <a:rPr lang="pt-PT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ILED = f(V0)</a:t>
            </a:r>
            <a:endParaRPr lang="pt-PT"/>
          </a:p>
        </c:rich>
      </c:tx>
      <c:layout>
        <c:manualLayout>
          <c:xMode val="edge"/>
          <c:yMode val="edge"/>
          <c:x val="0.16799485351772267"/>
          <c:y val="2.8046055530409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18844546412604"/>
                  <c:y val="-4.61736078288664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CONTROLO_CORRENTE!$C$45:$C$55</c:f>
              <c:numCache>
                <c:formatCode>0.00</c:formatCode>
                <c:ptCount val="11"/>
                <c:pt idx="0">
                  <c:v>3.28916227983771</c:v>
                </c:pt>
                <c:pt idx="1">
                  <c:v>3.9189986241478598</c:v>
                </c:pt>
                <c:pt idx="2">
                  <c:v>4.5488349216589103</c:v>
                </c:pt>
                <c:pt idx="3">
                  <c:v>5.1786711721452203</c:v>
                </c:pt>
                <c:pt idx="4">
                  <c:v>5.80850737537983</c:v>
                </c:pt>
                <c:pt idx="5">
                  <c:v>6.4383435311344499</c:v>
                </c:pt>
                <c:pt idx="6">
                  <c:v>7.0681796391795304</c:v>
                </c:pt>
                <c:pt idx="7">
                  <c:v>7.6980156992841904</c:v>
                </c:pt>
                <c:pt idx="8">
                  <c:v>8.3278517112161801</c:v>
                </c:pt>
                <c:pt idx="9">
                  <c:v>8.95768767474196</c:v>
                </c:pt>
                <c:pt idx="10">
                  <c:v>9.5875235896266293</c:v>
                </c:pt>
              </c:numCache>
            </c:numRef>
          </c:xVal>
          <c:yVal>
            <c:numRef>
              <c:f>CONTROLO_CORRENTE!$D$45:$D$55</c:f>
              <c:numCache>
                <c:formatCode>0.00</c:formatCode>
                <c:ptCount val="11"/>
                <c:pt idx="0">
                  <c:v>1.9639806289999999</c:v>
                </c:pt>
                <c:pt idx="1">
                  <c:v>4.9635928849999997</c:v>
                </c:pt>
                <c:pt idx="2">
                  <c:v>8.0210231400000005</c:v>
                </c:pt>
                <c:pt idx="3">
                  <c:v>11.099480890000001</c:v>
                </c:pt>
                <c:pt idx="4">
                  <c:v>14.187042870000001</c:v>
                </c:pt>
                <c:pt idx="5">
                  <c:v>17.28150814</c:v>
                </c:pt>
                <c:pt idx="6">
                  <c:v>20.390765909999999</c:v>
                </c:pt>
                <c:pt idx="7">
                  <c:v>23.488904770000001</c:v>
                </c:pt>
                <c:pt idx="8">
                  <c:v>26.590234639999998</c:v>
                </c:pt>
                <c:pt idx="9">
                  <c:v>29.694772390000001</c:v>
                </c:pt>
                <c:pt idx="10">
                  <c:v>32.801093739999999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DF-49C0-A1F8-FC4136B19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40928"/>
        <c:axId val="1259141408"/>
      </c:scatterChart>
      <c:valAx>
        <c:axId val="125914092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1408"/>
        <c:crosses val="autoZero"/>
        <c:crossBetween val="midCat"/>
        <c:majorUnit val="1"/>
      </c:valAx>
      <c:valAx>
        <c:axId val="12591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 /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Teórico</a:t>
            </a:r>
            <a:r>
              <a:rPr lang="pt-PT" baseline="0"/>
              <a:t> Circuito </a:t>
            </a:r>
            <a:r>
              <a:rPr lang="pt-PT" u="sng" baseline="0"/>
              <a:t>Separado</a:t>
            </a:r>
            <a:r>
              <a:rPr lang="pt-PT" baseline="0"/>
              <a:t> Amp. Corrente </a:t>
            </a:r>
          </a:p>
          <a:p>
            <a:pPr>
              <a:defRPr/>
            </a:pPr>
            <a:r>
              <a:rPr lang="pt-PT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ILED = f(V0)</a:t>
            </a:r>
            <a:endParaRPr lang="pt-PT"/>
          </a:p>
        </c:rich>
      </c:tx>
      <c:layout>
        <c:manualLayout>
          <c:xMode val="edge"/>
          <c:yMode val="edge"/>
          <c:x val="0.16799485351772267"/>
          <c:y val="2.8046055530409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18844546412604"/>
                  <c:y val="-4.61736078288664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CONTROLO_CORRENTE!$A$60:$A$65</c:f>
              <c:numCache>
                <c:formatCode>0.00</c:formatCode>
                <c:ptCount val="6"/>
                <c:pt idx="0">
                  <c:v>3.25</c:v>
                </c:pt>
                <c:pt idx="1">
                  <c:v>4.5999999999999996</c:v>
                </c:pt>
                <c:pt idx="2">
                  <c:v>5.9</c:v>
                </c:pt>
                <c:pt idx="3">
                  <c:v>6.9</c:v>
                </c:pt>
                <c:pt idx="4">
                  <c:v>8.9</c:v>
                </c:pt>
                <c:pt idx="5">
                  <c:v>9.5500000000000007</c:v>
                </c:pt>
              </c:numCache>
            </c:numRef>
          </c:xVal>
          <c:yVal>
            <c:numRef>
              <c:f>CONTROLO_CORRENTE!$B$60:$B$65</c:f>
              <c:numCache>
                <c:formatCode>0.00</c:formatCode>
                <c:ptCount val="6"/>
                <c:pt idx="0">
                  <c:v>2.7390000000000025</c:v>
                </c:pt>
                <c:pt idx="1">
                  <c:v>9.4512000000000018</c:v>
                </c:pt>
                <c:pt idx="2">
                  <c:v>15.914800000000005</c:v>
                </c:pt>
                <c:pt idx="3">
                  <c:v>20.886800000000001</c:v>
                </c:pt>
                <c:pt idx="4">
                  <c:v>30.830800000000004</c:v>
                </c:pt>
                <c:pt idx="5">
                  <c:v>34.062600000000003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7-48D1-BE64-6CD64130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40928"/>
        <c:axId val="1259141408"/>
      </c:scatterChart>
      <c:valAx>
        <c:axId val="125914092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1408"/>
        <c:crosses val="autoZero"/>
        <c:crossBetween val="midCat"/>
        <c:majorUnit val="1"/>
      </c:valAx>
      <c:valAx>
        <c:axId val="12591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ILED /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5914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aseline="0"/>
              <a:t>Teórico V0 = f(V2)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032536019762342"/>
                  <c:y val="-9.98140647592590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CONTROLO_CORRENTE!$F$11:$F$12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CONTROLO_CORRENTE!$G$11:$G$12</c:f>
              <c:numCache>
                <c:formatCode>0.00</c:formatCode>
                <c:ptCount val="2"/>
                <c:pt idx="0">
                  <c:v>3.25</c:v>
                </c:pt>
                <c:pt idx="1">
                  <c:v>9.5500000000000007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8C-4521-83C9-32D67516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87375"/>
        <c:axId val="697401775"/>
      </c:scatterChart>
      <c:valAx>
        <c:axId val="69738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V2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7401775"/>
        <c:crosses val="autoZero"/>
        <c:crossBetween val="midCat"/>
      </c:valAx>
      <c:valAx>
        <c:axId val="69740177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V0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7387375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360139</xdr:colOff>
      <xdr:row>4</xdr:row>
      <xdr:rowOff>186877</xdr:rowOff>
    </xdr:from>
    <xdr:to>
      <xdr:col>26</xdr:col>
      <xdr:colOff>390368</xdr:colOff>
      <xdr:row>19</xdr:row>
      <xdr:rowOff>163955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AA62AF-4EB5-34C2-3B83-1D2E75BCD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88817</xdr:colOff>
      <xdr:row>4</xdr:row>
      <xdr:rowOff>167766</xdr:rowOff>
    </xdr:from>
    <xdr:to>
      <xdr:col>19</xdr:col>
      <xdr:colOff>260017</xdr:colOff>
      <xdr:row>19</xdr:row>
      <xdr:rowOff>167766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F50AD5-8528-982C-5194-DC8F1E0E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399298</xdr:colOff>
      <xdr:row>22</xdr:row>
      <xdr:rowOff>179070</xdr:rowOff>
    </xdr:from>
    <xdr:to>
      <xdr:col>25</xdr:col>
      <xdr:colOff>94498</xdr:colOff>
      <xdr:row>37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E2BBD1-6DB0-BE8F-28CB-F772F1CDD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318247</xdr:colOff>
      <xdr:row>22</xdr:row>
      <xdr:rowOff>152400</xdr:rowOff>
    </xdr:from>
    <xdr:to>
      <xdr:col>17</xdr:col>
      <xdr:colOff>13447</xdr:colOff>
      <xdr:row>38</xdr:row>
      <xdr:rowOff>26895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A4F486-994D-65D0-0F02-B2869E94A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309609</xdr:colOff>
      <xdr:row>41</xdr:row>
      <xdr:rowOff>53153</xdr:rowOff>
    </xdr:from>
    <xdr:to>
      <xdr:col>17</xdr:col>
      <xdr:colOff>4809</xdr:colOff>
      <xdr:row>57</xdr:row>
      <xdr:rowOff>53153</xdr:rowOff>
    </xdr:to>
    <xdr:graphicFrame macro="">
      <xdr:nvGraphicFramePr>
        <xdr:cNvPr id="9" name="Gráfico 4">
          <a:extLst>
            <a:ext uri="{FF2B5EF4-FFF2-40B4-BE49-F238E27FC236}">
              <a16:creationId xmlns:a16="http://schemas.microsoft.com/office/drawing/2014/main" id="{E5F40B78-E457-9FEB-0471-90AF92D5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430914</xdr:colOff>
      <xdr:row>41</xdr:row>
      <xdr:rowOff>55704</xdr:rowOff>
    </xdr:from>
    <xdr:to>
      <xdr:col>25</xdr:col>
      <xdr:colOff>126739</xdr:colOff>
      <xdr:row>57</xdr:row>
      <xdr:rowOff>55704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96266C97-9D3B-3BA1-71AE-24F4144DF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</xdr:colOff>
      <xdr:row>61</xdr:row>
      <xdr:rowOff>7807</xdr:rowOff>
    </xdr:from>
    <xdr:to>
      <xdr:col>25</xdr:col>
      <xdr:colOff>304177</xdr:colOff>
      <xdr:row>77</xdr:row>
      <xdr:rowOff>7807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65249F-35D5-417A-B328-3A29D1D4F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320102</xdr:colOff>
      <xdr:row>61</xdr:row>
      <xdr:rowOff>7807</xdr:rowOff>
    </xdr:from>
    <xdr:to>
      <xdr:col>16</xdr:col>
      <xdr:colOff>562131</xdr:colOff>
      <xdr:row>77</xdr:row>
      <xdr:rowOff>39036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4F8A01-F053-4751-9A20-3ACAB8C49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23423</xdr:colOff>
      <xdr:row>4</xdr:row>
      <xdr:rowOff>171761</xdr:rowOff>
    </xdr:from>
    <xdr:to>
      <xdr:col>13</xdr:col>
      <xdr:colOff>46284</xdr:colOff>
      <xdr:row>19</xdr:row>
      <xdr:rowOff>171761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EFD671D-D2D1-4D47-B385-3CDC4A85E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DD803-82D7-4365-AA47-D90913EE30D3}" name="Tabela1" displayName="Tabela1" ref="A10:B18" totalsRowShown="0" headerRowDxfId="27" dataDxfId="26">
  <autoFilter ref="A10:B18" xr:uid="{D7FDD803-82D7-4365-AA47-D90913EE30D3}"/>
  <sortState xmlns:xlrd2="http://schemas.microsoft.com/office/spreadsheetml/2017/richdata2" ref="A11:B18">
    <sortCondition ref="A10:A18"/>
  </sortState>
  <tableColumns count="2">
    <tableColumn id="1" xr3:uid="{15889912-5928-4212-B61D-8407A808789E}" name="V2 (V)" dataDxfId="25"/>
    <tableColumn id="2" xr3:uid="{8CFCF7EC-D5A6-4F49-8A9E-6B43F7E9685B}" name="V0 (V)" dataDxfId="2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65A943-FDB8-4938-A13E-F569E51C07F0}" name="Tabela24" displayName="Tabela24" ref="A26:E33" totalsRowShown="0" headerRowDxfId="23" dataDxfId="22">
  <autoFilter ref="A26:E33" xr:uid="{BA65A943-FDB8-4938-A13E-F569E51C07F0}"/>
  <sortState xmlns:xlrd2="http://schemas.microsoft.com/office/spreadsheetml/2017/richdata2" ref="A27:E33">
    <sortCondition ref="A26:A33"/>
  </sortState>
  <tableColumns count="5">
    <tableColumn id="1" xr3:uid="{007B37F4-5B41-4BEC-AC7E-81C60BA45476}" name="V2 (V)" dataDxfId="21"/>
    <tableColumn id="2" xr3:uid="{05D55560-B32F-4C47-B9BC-CF4A651307D2}" name="V0 (V)" dataDxfId="20"/>
    <tableColumn id="3" xr3:uid="{62C000E8-D345-4DA1-9E85-1FFA04B2B7FF}" name="IR (mA)" dataDxfId="19"/>
    <tableColumn id="4" xr3:uid="{D31DBB40-C047-4E8D-A25D-D138E634F903}" name="ILED (mA)" dataDxfId="18"/>
    <tableColumn id="5" xr3:uid="{0B41C38D-0D8C-42BE-8EB6-A8238FA6AE7B}" name="ULED (V)" dataDxf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819299-F73D-4CC8-BD11-E1E966942C5F}" name="Tabela4" displayName="Tabela4" ref="A3:F5" totalsRowShown="0" dataDxfId="16">
  <autoFilter ref="A3:F5" xr:uid="{55819299-F73D-4CC8-BD11-E1E966942C5F}"/>
  <tableColumns count="6">
    <tableColumn id="1" xr3:uid="{B337EF41-4BBC-4243-954F-386BF11A58A3}" name="Ufonte (V)" dataDxfId="15"/>
    <tableColumn id="2" xr3:uid="{DB7A11D5-7891-4D29-80E4-5E6B7B595838}" name="ILED (mA)" dataDxfId="14"/>
    <tableColumn id="3" xr3:uid="{3BAD4FF4-B63C-443A-8925-73C11E65F1F8}" name="ULED (V)" dataDxfId="13"/>
    <tableColumn id="4" xr3:uid="{960DA57A-BA39-4E16-975B-0A2DFB019FD8}" name="Ufonte (V)2" dataDxfId="12"/>
    <tableColumn id="5" xr3:uid="{A2AF81F1-FDFB-4C11-AE1D-6F234099943F}" name="ILED (mA)3" dataDxfId="11"/>
    <tableColumn id="6" xr3:uid="{40548190-8ACC-4195-B5CA-3F75D608B998}" name="ULED (V)4" dataDxfId="1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B39D53-27BF-4E88-BCED-D84D73EF6816}" name="Tabela5" displayName="Tabela5" ref="C10:D21" totalsRowShown="0" headerRowDxfId="9" tableBorderDxfId="8">
  <autoFilter ref="C10:D21" xr:uid="{AEB39D53-27BF-4E88-BCED-D84D73EF6816}"/>
  <tableColumns count="2">
    <tableColumn id="1" xr3:uid="{AF2D3E98-152F-4D96-A72C-10CC7D0D0C78}" name="V2 (V)"/>
    <tableColumn id="2" xr3:uid="{8F719CCD-C650-444B-9ED2-B617F90B2CF4}" name="V0 (V)" dataDxfId="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4AF10A-902B-4C86-A59B-DA6F92F5DC30}" name="Tabela6" displayName="Tabela6" ref="F26:I37" totalsRowShown="0" headerRowDxfId="6" dataDxfId="5" tableBorderDxfId="4">
  <autoFilter ref="F26:I37" xr:uid="{9E4AF10A-902B-4C86-A59B-DA6F92F5DC30}"/>
  <tableColumns count="4">
    <tableColumn id="1" xr3:uid="{AEF3843D-D93C-42A3-8D07-D3935DBC324F}" name="V2 (V)" dataDxfId="3"/>
    <tableColumn id="2" xr3:uid="{0B485B60-8CC1-4DBE-8E83-86CE87BFDC0E}" name="V0 (V)" dataDxfId="2"/>
    <tableColumn id="3" xr3:uid="{91CFD1F3-18D0-4495-BB23-FA571367A2D9}" name="IR (mA)" dataDxfId="1"/>
    <tableColumn id="4" xr3:uid="{BCBA6A18-942F-4EAD-8846-AFAC9CF516E9}" name="ILED (mA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I65"/>
  <sheetViews>
    <sheetView tabSelected="1" topLeftCell="A31" zoomScale="122" zoomScaleNormal="85" workbookViewId="0">
      <selection activeCell="H52" sqref="H52"/>
    </sheetView>
  </sheetViews>
  <sheetFormatPr defaultRowHeight="15" x14ac:dyDescent="0.25"/>
  <cols>
    <col min="1" max="1" width="11.7109375" style="1" customWidth="1"/>
    <col min="2" max="2" width="11.28515625" style="1" customWidth="1"/>
    <col min="3" max="3" width="10.28515625" customWidth="1"/>
    <col min="8" max="8" width="9.28515625" customWidth="1"/>
    <col min="9" max="9" width="11.28515625" customWidth="1"/>
  </cols>
  <sheetData>
    <row r="1" spans="1:7" x14ac:dyDescent="0.25">
      <c r="A1" s="22" t="s">
        <v>0</v>
      </c>
      <c r="B1" s="22"/>
      <c r="C1" s="22"/>
      <c r="D1" s="22"/>
      <c r="E1" s="22"/>
      <c r="F1" s="22"/>
    </row>
    <row r="2" spans="1:7" x14ac:dyDescent="0.25">
      <c r="A2" s="22" t="s">
        <v>1</v>
      </c>
      <c r="B2" s="22"/>
      <c r="C2" s="22"/>
      <c r="D2" s="22" t="s">
        <v>2</v>
      </c>
      <c r="E2" s="22"/>
      <c r="F2" s="22"/>
    </row>
    <row r="3" spans="1:7" x14ac:dyDescent="0.25">
      <c r="A3" s="1" t="s">
        <v>3</v>
      </c>
      <c r="B3" s="1" t="s">
        <v>4</v>
      </c>
      <c r="C3" t="s">
        <v>5</v>
      </c>
      <c r="D3" s="1" t="s">
        <v>6</v>
      </c>
      <c r="E3" s="1" t="s">
        <v>7</v>
      </c>
      <c r="F3" t="s">
        <v>8</v>
      </c>
    </row>
    <row r="4" spans="1:7" x14ac:dyDescent="0.25">
      <c r="A4" s="2">
        <v>3.25</v>
      </c>
      <c r="B4" s="2">
        <v>3</v>
      </c>
      <c r="C4" s="7">
        <v>2.62</v>
      </c>
      <c r="D4" s="7">
        <v>3.25</v>
      </c>
      <c r="E4" s="7">
        <v>5.0999999999999996</v>
      </c>
      <c r="F4" s="5">
        <v>2.2363988948825502</v>
      </c>
    </row>
    <row r="5" spans="1:7" x14ac:dyDescent="0.25">
      <c r="A5" s="2">
        <v>9.5500000000000007</v>
      </c>
      <c r="B5" s="2">
        <v>34</v>
      </c>
      <c r="C5" s="7">
        <v>2.89</v>
      </c>
      <c r="D5" s="7">
        <v>9.5500000000000007</v>
      </c>
      <c r="E5" s="7">
        <v>34.700000000000003</v>
      </c>
      <c r="F5" s="5">
        <v>2.62831101340067</v>
      </c>
    </row>
    <row r="8" spans="1:7" x14ac:dyDescent="0.25">
      <c r="A8" s="22" t="s">
        <v>36</v>
      </c>
      <c r="B8" s="22"/>
      <c r="C8" s="22"/>
      <c r="D8" s="22"/>
      <c r="F8" s="22" t="s">
        <v>36</v>
      </c>
      <c r="G8" s="22"/>
    </row>
    <row r="9" spans="1:7" x14ac:dyDescent="0.25">
      <c r="A9" s="22" t="s">
        <v>1</v>
      </c>
      <c r="B9" s="22"/>
      <c r="C9" s="22" t="s">
        <v>2</v>
      </c>
      <c r="D9" s="22"/>
      <c r="F9" s="22" t="s">
        <v>18</v>
      </c>
      <c r="G9" s="22"/>
    </row>
    <row r="10" spans="1:7" x14ac:dyDescent="0.25">
      <c r="A10" s="1" t="s">
        <v>9</v>
      </c>
      <c r="B10" s="1" t="s">
        <v>10</v>
      </c>
      <c r="C10" s="3" t="s">
        <v>9</v>
      </c>
      <c r="D10" s="4" t="s">
        <v>10</v>
      </c>
      <c r="F10" s="3" t="s">
        <v>9</v>
      </c>
      <c r="G10" s="4" t="s">
        <v>10</v>
      </c>
    </row>
    <row r="11" spans="1:7" x14ac:dyDescent="0.25">
      <c r="A11" s="6">
        <v>0</v>
      </c>
      <c r="B11" s="6">
        <v>3.4</v>
      </c>
      <c r="C11">
        <v>0</v>
      </c>
      <c r="D11" s="5">
        <v>3.28916227983781</v>
      </c>
      <c r="F11" s="25">
        <v>0</v>
      </c>
      <c r="G11" s="27">
        <v>3.25</v>
      </c>
    </row>
    <row r="12" spans="1:7" x14ac:dyDescent="0.25">
      <c r="A12" s="6">
        <v>0.60099999999999998</v>
      </c>
      <c r="B12" s="6">
        <v>3.996</v>
      </c>
      <c r="C12">
        <v>0.5</v>
      </c>
      <c r="D12" s="5">
        <v>3.9189986241479602</v>
      </c>
      <c r="F12" s="26">
        <v>5</v>
      </c>
      <c r="G12" s="28">
        <v>9.5500000000000007</v>
      </c>
    </row>
    <row r="13" spans="1:7" x14ac:dyDescent="0.25">
      <c r="A13" s="6">
        <v>0.91500000000000004</v>
      </c>
      <c r="B13" s="6">
        <v>4.3410000000000002</v>
      </c>
      <c r="C13">
        <v>1</v>
      </c>
      <c r="D13" s="5">
        <v>4.5488349216590098</v>
      </c>
    </row>
    <row r="14" spans="1:7" x14ac:dyDescent="0.25">
      <c r="A14" s="6">
        <v>1.8480000000000001</v>
      </c>
      <c r="B14" s="6">
        <v>5.516</v>
      </c>
      <c r="C14">
        <v>1.5</v>
      </c>
      <c r="D14" s="5">
        <v>5.1786711721453296</v>
      </c>
    </row>
    <row r="15" spans="1:7" x14ac:dyDescent="0.25">
      <c r="A15" s="6">
        <v>2.7069999999999999</v>
      </c>
      <c r="B15" s="6">
        <v>6.59</v>
      </c>
      <c r="C15">
        <v>2</v>
      </c>
      <c r="D15" s="5">
        <v>5.8085073753799303</v>
      </c>
    </row>
    <row r="16" spans="1:7" x14ac:dyDescent="0.25">
      <c r="A16" s="6">
        <v>3.375</v>
      </c>
      <c r="B16" s="6">
        <v>7.46</v>
      </c>
      <c r="C16">
        <v>2.5</v>
      </c>
      <c r="D16" s="5">
        <v>6.43834353113456</v>
      </c>
    </row>
    <row r="17" spans="1:9" x14ac:dyDescent="0.25">
      <c r="A17" s="6">
        <v>4.4630000000000001</v>
      </c>
      <c r="B17" s="6">
        <v>8.76</v>
      </c>
      <c r="C17">
        <v>3</v>
      </c>
      <c r="D17" s="5">
        <v>7.0681796391796503</v>
      </c>
    </row>
    <row r="18" spans="1:9" x14ac:dyDescent="0.25">
      <c r="A18" s="6">
        <v>5.2729999999999997</v>
      </c>
      <c r="B18" s="6">
        <v>9.86</v>
      </c>
      <c r="C18">
        <v>3.5</v>
      </c>
      <c r="D18" s="5">
        <v>7.6980156992843103</v>
      </c>
    </row>
    <row r="19" spans="1:9" x14ac:dyDescent="0.25">
      <c r="C19">
        <v>4</v>
      </c>
      <c r="D19" s="5">
        <v>8.3278517112163009</v>
      </c>
    </row>
    <row r="20" spans="1:9" x14ac:dyDescent="0.25">
      <c r="C20">
        <v>4.5</v>
      </c>
      <c r="D20" s="5">
        <v>8.9576876747420808</v>
      </c>
    </row>
    <row r="21" spans="1:9" x14ac:dyDescent="0.25">
      <c r="C21">
        <v>5</v>
      </c>
      <c r="D21" s="5">
        <v>9.5875235896267501</v>
      </c>
    </row>
    <row r="24" spans="1:9" x14ac:dyDescent="0.25">
      <c r="A24" s="22" t="s">
        <v>11</v>
      </c>
      <c r="B24" s="22"/>
      <c r="C24" s="22"/>
      <c r="D24" s="22"/>
      <c r="E24" s="22"/>
      <c r="F24" s="22"/>
      <c r="G24" s="22"/>
      <c r="H24" s="22"/>
      <c r="I24" s="22"/>
    </row>
    <row r="25" spans="1:9" x14ac:dyDescent="0.25">
      <c r="A25" s="22" t="s">
        <v>1</v>
      </c>
      <c r="B25" s="22"/>
      <c r="C25" s="22"/>
      <c r="D25" s="22"/>
      <c r="E25" s="22"/>
      <c r="F25" s="22" t="s">
        <v>2</v>
      </c>
      <c r="G25" s="22"/>
      <c r="H25" s="22"/>
      <c r="I25" s="22"/>
    </row>
    <row r="26" spans="1:9" x14ac:dyDescent="0.25">
      <c r="A26" s="1" t="s">
        <v>9</v>
      </c>
      <c r="B26" s="1" t="s">
        <v>10</v>
      </c>
      <c r="C26" s="1" t="s">
        <v>12</v>
      </c>
      <c r="D26" s="1" t="s">
        <v>4</v>
      </c>
      <c r="E26" s="1" t="s">
        <v>5</v>
      </c>
      <c r="F26" s="3" t="s">
        <v>9</v>
      </c>
      <c r="G26" s="8" t="s">
        <v>10</v>
      </c>
      <c r="H26" s="8" t="s">
        <v>12</v>
      </c>
      <c r="I26" s="8" t="s">
        <v>4</v>
      </c>
    </row>
    <row r="27" spans="1:9" x14ac:dyDescent="0.25">
      <c r="A27" s="6">
        <v>0</v>
      </c>
      <c r="B27" s="6">
        <v>3.31</v>
      </c>
      <c r="C27" s="6">
        <v>5.31</v>
      </c>
      <c r="D27" s="6">
        <v>5.26</v>
      </c>
      <c r="E27" s="6">
        <v>2.65</v>
      </c>
      <c r="F27" s="6">
        <v>0</v>
      </c>
      <c r="G27" s="6">
        <v>3.28916227983771</v>
      </c>
      <c r="H27" s="6">
        <v>1.9745642880000001</v>
      </c>
      <c r="I27" s="6">
        <v>1.9639806289999999</v>
      </c>
    </row>
    <row r="28" spans="1:9" x14ac:dyDescent="0.25">
      <c r="A28" s="6">
        <v>0.8</v>
      </c>
      <c r="B28" s="6">
        <v>4.25</v>
      </c>
      <c r="C28" s="6">
        <v>9.3699999999999992</v>
      </c>
      <c r="D28" s="6">
        <v>9.3000000000000007</v>
      </c>
      <c r="E28" s="6">
        <v>2.7</v>
      </c>
      <c r="F28" s="6">
        <v>0.5</v>
      </c>
      <c r="G28" s="6">
        <v>3.9189986241478598</v>
      </c>
      <c r="H28" s="6">
        <v>4.987614057</v>
      </c>
      <c r="I28" s="6">
        <v>4.9635928849999997</v>
      </c>
    </row>
    <row r="29" spans="1:9" x14ac:dyDescent="0.25">
      <c r="A29" s="6">
        <v>1.8</v>
      </c>
      <c r="B29" s="6">
        <v>5.53</v>
      </c>
      <c r="C29" s="6">
        <v>14.98</v>
      </c>
      <c r="D29" s="6">
        <v>14.95</v>
      </c>
      <c r="E29" s="6">
        <v>2.77</v>
      </c>
      <c r="F29" s="6">
        <v>1</v>
      </c>
      <c r="G29" s="6">
        <v>4.5488349216589103</v>
      </c>
      <c r="H29" s="6">
        <v>8.0583598120000008</v>
      </c>
      <c r="I29" s="6">
        <v>8.0210231400000005</v>
      </c>
    </row>
    <row r="30" spans="1:9" x14ac:dyDescent="0.25">
      <c r="A30" s="6">
        <v>2.71</v>
      </c>
      <c r="B30" s="6">
        <v>6.69</v>
      </c>
      <c r="C30" s="6">
        <v>20.22</v>
      </c>
      <c r="D30" s="6">
        <v>20.170000000000002</v>
      </c>
      <c r="E30" s="6">
        <v>2.82</v>
      </c>
      <c r="F30" s="6">
        <v>1.5</v>
      </c>
      <c r="G30" s="6">
        <v>5.1786711721452203</v>
      </c>
      <c r="H30" s="6">
        <v>11.14915066</v>
      </c>
      <c r="I30" s="6">
        <v>11.099480890000001</v>
      </c>
    </row>
    <row r="31" spans="1:9" x14ac:dyDescent="0.25">
      <c r="A31" s="6">
        <v>3.3</v>
      </c>
      <c r="B31" s="6">
        <v>7.43</v>
      </c>
      <c r="C31" s="6">
        <v>23.25</v>
      </c>
      <c r="D31" s="6">
        <v>23.2</v>
      </c>
      <c r="E31" s="6">
        <v>2.84</v>
      </c>
      <c r="F31" s="6">
        <v>2</v>
      </c>
      <c r="G31" s="6">
        <v>5.80850737537983</v>
      </c>
      <c r="H31" s="6">
        <v>14.25023247</v>
      </c>
      <c r="I31" s="6">
        <v>14.187042870000001</v>
      </c>
    </row>
    <row r="32" spans="1:9" x14ac:dyDescent="0.25">
      <c r="A32" s="6">
        <v>4.57</v>
      </c>
      <c r="B32" s="6">
        <v>8.9600000000000009</v>
      </c>
      <c r="C32" s="6">
        <v>28.38</v>
      </c>
      <c r="D32" s="6">
        <v>28.3</v>
      </c>
      <c r="E32" s="6">
        <v>2.89</v>
      </c>
      <c r="F32" s="6">
        <v>2.5</v>
      </c>
      <c r="G32" s="6">
        <v>6.4383435311344499</v>
      </c>
      <c r="H32" s="6">
        <v>17.357573859999999</v>
      </c>
      <c r="I32" s="6">
        <v>17.28150814</v>
      </c>
    </row>
    <row r="33" spans="1:9" x14ac:dyDescent="0.25">
      <c r="A33" s="9">
        <v>5</v>
      </c>
      <c r="B33" s="9">
        <v>9.6</v>
      </c>
      <c r="C33" s="9">
        <v>31.59</v>
      </c>
      <c r="D33" s="9">
        <v>31.5</v>
      </c>
      <c r="E33" s="6">
        <v>2.91</v>
      </c>
      <c r="F33" s="6">
        <v>3</v>
      </c>
      <c r="G33" s="6">
        <v>7.0681796391795304</v>
      </c>
      <c r="H33" s="6">
        <v>20.46914426</v>
      </c>
      <c r="I33" s="6">
        <v>20.390765909999999</v>
      </c>
    </row>
    <row r="34" spans="1:9" x14ac:dyDescent="0.25">
      <c r="F34" s="6">
        <v>3.5</v>
      </c>
      <c r="G34" s="6">
        <v>7.6980156992841904</v>
      </c>
      <c r="H34" s="6">
        <v>23.583775289999998</v>
      </c>
      <c r="I34" s="6">
        <v>23.488904770000001</v>
      </c>
    </row>
    <row r="35" spans="1:9" x14ac:dyDescent="0.25">
      <c r="F35" s="6">
        <v>4</v>
      </c>
      <c r="G35" s="6">
        <v>8.3278517112161801</v>
      </c>
      <c r="H35" s="6">
        <v>26.700709119999999</v>
      </c>
      <c r="I35" s="6">
        <v>26.590234639999998</v>
      </c>
    </row>
    <row r="36" spans="1:9" x14ac:dyDescent="0.25">
      <c r="F36" s="6">
        <v>4.5</v>
      </c>
      <c r="G36" s="6">
        <v>8.95768767474196</v>
      </c>
      <c r="H36" s="6">
        <v>29.819464669999999</v>
      </c>
      <c r="I36" s="6">
        <v>29.694772390000001</v>
      </c>
    </row>
    <row r="37" spans="1:9" x14ac:dyDescent="0.25">
      <c r="F37" s="6">
        <v>5</v>
      </c>
      <c r="G37" s="6">
        <v>9.5875235896266293</v>
      </c>
      <c r="H37" s="6">
        <v>32.939505449999999</v>
      </c>
      <c r="I37" s="6">
        <v>32.801093739999999</v>
      </c>
    </row>
    <row r="42" spans="1:9" x14ac:dyDescent="0.25">
      <c r="A42" s="22" t="s">
        <v>35</v>
      </c>
      <c r="B42" s="22"/>
      <c r="C42" s="22"/>
      <c r="D42" s="22"/>
    </row>
    <row r="43" spans="1:9" x14ac:dyDescent="0.25">
      <c r="A43" s="21" t="s">
        <v>1</v>
      </c>
      <c r="B43" s="21"/>
      <c r="C43" s="21" t="s">
        <v>2</v>
      </c>
      <c r="D43" s="21"/>
    </row>
    <row r="44" spans="1:9" x14ac:dyDescent="0.25">
      <c r="A44" s="10" t="s">
        <v>10</v>
      </c>
      <c r="B44" s="11" t="s">
        <v>13</v>
      </c>
      <c r="C44" s="10" t="s">
        <v>10</v>
      </c>
      <c r="D44" s="11" t="s">
        <v>13</v>
      </c>
    </row>
    <row r="45" spans="1:9" x14ac:dyDescent="0.25">
      <c r="A45" s="12">
        <v>3.25</v>
      </c>
      <c r="B45" s="13">
        <v>4.79</v>
      </c>
      <c r="C45" s="17">
        <v>3.28916227983771</v>
      </c>
      <c r="D45" s="15">
        <v>1.9639806289999999</v>
      </c>
    </row>
    <row r="46" spans="1:9" x14ac:dyDescent="0.25">
      <c r="A46" s="12">
        <v>4.5999999999999996</v>
      </c>
      <c r="B46" s="13">
        <v>9.77</v>
      </c>
      <c r="C46" s="17">
        <v>3.9189986241478598</v>
      </c>
      <c r="D46" s="15">
        <v>4.9635928849999997</v>
      </c>
    </row>
    <row r="47" spans="1:9" x14ac:dyDescent="0.25">
      <c r="A47" s="12">
        <v>5.9</v>
      </c>
      <c r="B47" s="13">
        <v>15</v>
      </c>
      <c r="C47" s="17">
        <v>4.5488349216589103</v>
      </c>
      <c r="D47" s="15">
        <v>8.0210231400000005</v>
      </c>
    </row>
    <row r="48" spans="1:9" x14ac:dyDescent="0.25">
      <c r="A48" s="12">
        <v>6.9</v>
      </c>
      <c r="B48" s="13">
        <v>19.55</v>
      </c>
      <c r="C48" s="17">
        <v>5.1786711721452203</v>
      </c>
      <c r="D48" s="15">
        <v>11.099480890000001</v>
      </c>
    </row>
    <row r="49" spans="1:4" x14ac:dyDescent="0.25">
      <c r="A49" s="12">
        <v>8.9</v>
      </c>
      <c r="B49" s="13">
        <v>28.31</v>
      </c>
      <c r="C49" s="17">
        <v>5.80850737537983</v>
      </c>
      <c r="D49" s="15">
        <v>14.187042870000001</v>
      </c>
    </row>
    <row r="50" spans="1:4" x14ac:dyDescent="0.25">
      <c r="A50" s="17">
        <v>9.5500000000000007</v>
      </c>
      <c r="B50" s="14">
        <v>30.6</v>
      </c>
      <c r="C50" s="17">
        <v>6.4383435311344499</v>
      </c>
      <c r="D50" s="15">
        <v>17.28150814</v>
      </c>
    </row>
    <row r="51" spans="1:4" x14ac:dyDescent="0.25">
      <c r="C51" s="18">
        <v>7.0681796391795304</v>
      </c>
      <c r="D51" s="15">
        <v>20.390765909999999</v>
      </c>
    </row>
    <row r="52" spans="1:4" x14ac:dyDescent="0.25">
      <c r="C52" s="12">
        <v>7.6980156992841904</v>
      </c>
      <c r="D52" s="15">
        <v>23.488904770000001</v>
      </c>
    </row>
    <row r="53" spans="1:4" x14ac:dyDescent="0.25">
      <c r="C53" s="12">
        <v>8.3278517112161801</v>
      </c>
      <c r="D53" s="15">
        <v>26.590234639999998</v>
      </c>
    </row>
    <row r="54" spans="1:4" x14ac:dyDescent="0.25">
      <c r="C54" s="12">
        <v>8.95768767474196</v>
      </c>
      <c r="D54" s="15">
        <v>29.694772390000001</v>
      </c>
    </row>
    <row r="55" spans="1:4" x14ac:dyDescent="0.25">
      <c r="C55" s="17">
        <v>9.5875235896266293</v>
      </c>
      <c r="D55" s="16">
        <v>32.801093739999999</v>
      </c>
    </row>
    <row r="57" spans="1:4" x14ac:dyDescent="0.25">
      <c r="A57" s="22" t="s">
        <v>35</v>
      </c>
      <c r="B57" s="22"/>
    </row>
    <row r="58" spans="1:4" x14ac:dyDescent="0.25">
      <c r="A58" s="21" t="s">
        <v>18</v>
      </c>
      <c r="B58" s="21"/>
    </row>
    <row r="59" spans="1:4" x14ac:dyDescent="0.25">
      <c r="A59" s="10" t="s">
        <v>10</v>
      </c>
      <c r="B59" s="11" t="s">
        <v>13</v>
      </c>
    </row>
    <row r="60" spans="1:4" x14ac:dyDescent="0.25">
      <c r="A60" s="12">
        <v>3.25</v>
      </c>
      <c r="B60" s="15">
        <f>IF(A60&lt;=2.7, 0, 4.972*A60 - 13.42)</f>
        <v>2.7390000000000025</v>
      </c>
    </row>
    <row r="61" spans="1:4" x14ac:dyDescent="0.25">
      <c r="A61" s="12">
        <v>4.5999999999999996</v>
      </c>
      <c r="B61" s="15">
        <f t="shared" ref="B61:B65" si="0">IF(A61&lt;=2.7, 0, 4.972*A61 - 13.42)</f>
        <v>9.4512000000000018</v>
      </c>
    </row>
    <row r="62" spans="1:4" x14ac:dyDescent="0.25">
      <c r="A62" s="12">
        <v>5.9</v>
      </c>
      <c r="B62" s="15">
        <f t="shared" si="0"/>
        <v>15.914800000000005</v>
      </c>
    </row>
    <row r="63" spans="1:4" x14ac:dyDescent="0.25">
      <c r="A63" s="12">
        <v>6.9</v>
      </c>
      <c r="B63" s="15">
        <f t="shared" si="0"/>
        <v>20.886800000000001</v>
      </c>
    </row>
    <row r="64" spans="1:4" x14ac:dyDescent="0.25">
      <c r="A64" s="12">
        <v>8.9</v>
      </c>
      <c r="B64" s="15">
        <f t="shared" si="0"/>
        <v>30.830800000000004</v>
      </c>
    </row>
    <row r="65" spans="1:2" x14ac:dyDescent="0.25">
      <c r="A65" s="17">
        <v>9.5500000000000007</v>
      </c>
      <c r="B65" s="16">
        <f t="shared" si="0"/>
        <v>34.062600000000003</v>
      </c>
    </row>
  </sheetData>
  <mergeCells count="16">
    <mergeCell ref="A1:F1"/>
    <mergeCell ref="A25:E25"/>
    <mergeCell ref="F25:I25"/>
    <mergeCell ref="A24:I24"/>
    <mergeCell ref="A2:C2"/>
    <mergeCell ref="D2:F2"/>
    <mergeCell ref="A8:D8"/>
    <mergeCell ref="A9:B9"/>
    <mergeCell ref="C9:D9"/>
    <mergeCell ref="F9:G9"/>
    <mergeCell ref="F8:G8"/>
    <mergeCell ref="A58:B58"/>
    <mergeCell ref="A57:B57"/>
    <mergeCell ref="A43:B43"/>
    <mergeCell ref="C43:D43"/>
    <mergeCell ref="A42:D42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C849-76D6-4DD5-8E48-D56147186607}">
  <dimension ref="A1:O45"/>
  <sheetViews>
    <sheetView zoomScale="115" zoomScaleNormal="115" workbookViewId="0">
      <selection activeCell="I22" sqref="I22:I23"/>
    </sheetView>
  </sheetViews>
  <sheetFormatPr defaultRowHeight="15" x14ac:dyDescent="0.25"/>
  <cols>
    <col min="1" max="1" width="11.140625" bestFit="1" customWidth="1"/>
    <col min="2" max="2" width="9.28515625" bestFit="1" customWidth="1"/>
    <col min="3" max="3" width="12.85546875" bestFit="1" customWidth="1"/>
    <col min="4" max="4" width="7.5703125" bestFit="1" customWidth="1"/>
    <col min="5" max="5" width="9.28515625" bestFit="1" customWidth="1"/>
    <col min="6" max="6" width="12.85546875" bestFit="1" customWidth="1"/>
    <col min="9" max="9" width="12.85546875" bestFit="1" customWidth="1"/>
    <col min="10" max="10" width="7.5703125" bestFit="1" customWidth="1"/>
    <col min="11" max="11" width="9" customWidth="1"/>
    <col min="12" max="12" width="12.85546875" bestFit="1" customWidth="1"/>
    <col min="14" max="14" width="9.28515625" bestFit="1" customWidth="1"/>
    <col min="15" max="15" width="12.85546875" bestFit="1" customWidth="1"/>
  </cols>
  <sheetData>
    <row r="1" spans="1:15" x14ac:dyDescent="0.2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25">
      <c r="A2" s="24" t="s">
        <v>15</v>
      </c>
      <c r="B2" s="24"/>
      <c r="C2" s="24"/>
      <c r="D2" s="24"/>
      <c r="E2" s="24"/>
      <c r="F2" s="24"/>
      <c r="G2" s="24" t="s">
        <v>16</v>
      </c>
      <c r="H2" s="24"/>
      <c r="I2" s="24"/>
      <c r="J2" s="24"/>
      <c r="K2" s="24"/>
      <c r="L2" s="24"/>
      <c r="M2" s="24" t="s">
        <v>17</v>
      </c>
      <c r="N2" s="24"/>
      <c r="O2" s="24"/>
    </row>
    <row r="3" spans="1:15" x14ac:dyDescent="0.25">
      <c r="A3" s="24" t="s">
        <v>20</v>
      </c>
      <c r="B3" s="24"/>
      <c r="C3" s="24"/>
      <c r="D3" s="24" t="s">
        <v>21</v>
      </c>
      <c r="E3" s="24"/>
      <c r="F3" s="24"/>
      <c r="G3" s="24" t="s">
        <v>22</v>
      </c>
      <c r="H3" s="24"/>
      <c r="I3" s="24"/>
      <c r="J3" s="24" t="s">
        <v>19</v>
      </c>
      <c r="K3" s="24"/>
      <c r="L3" s="24"/>
      <c r="M3" s="24" t="s">
        <v>23</v>
      </c>
      <c r="N3" s="24"/>
      <c r="O3" s="24"/>
    </row>
    <row r="4" spans="1:15" x14ac:dyDescent="0.25">
      <c r="A4" t="s">
        <v>18</v>
      </c>
      <c r="B4" t="s">
        <v>2</v>
      </c>
      <c r="C4" t="s">
        <v>1</v>
      </c>
      <c r="D4" t="s">
        <v>18</v>
      </c>
      <c r="E4" t="s">
        <v>2</v>
      </c>
      <c r="F4" t="s">
        <v>1</v>
      </c>
      <c r="G4" s="1" t="s">
        <v>18</v>
      </c>
      <c r="H4" t="s">
        <v>2</v>
      </c>
      <c r="I4" t="s">
        <v>1</v>
      </c>
      <c r="J4" t="s">
        <v>18</v>
      </c>
      <c r="K4" t="s">
        <v>2</v>
      </c>
      <c r="L4" t="s">
        <v>1</v>
      </c>
      <c r="M4" s="1" t="s">
        <v>18</v>
      </c>
      <c r="N4" t="s">
        <v>2</v>
      </c>
      <c r="O4" t="s">
        <v>1</v>
      </c>
    </row>
    <row r="5" spans="1:15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28</v>
      </c>
      <c r="G5" s="1" t="s">
        <v>30</v>
      </c>
      <c r="H5" s="1" t="s">
        <v>33</v>
      </c>
      <c r="I5" s="1" t="s">
        <v>29</v>
      </c>
      <c r="J5" s="1">
        <v>250</v>
      </c>
      <c r="K5" s="1">
        <v>245.8</v>
      </c>
      <c r="L5" s="1">
        <v>249</v>
      </c>
      <c r="M5" s="1" t="s">
        <v>31</v>
      </c>
      <c r="N5" s="1" t="s">
        <v>34</v>
      </c>
      <c r="O5" s="1" t="s">
        <v>32</v>
      </c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23" t="s">
        <v>18</v>
      </c>
      <c r="B8" s="23"/>
      <c r="C8" s="23"/>
      <c r="D8" s="1"/>
      <c r="E8" s="23" t="s">
        <v>2</v>
      </c>
      <c r="F8" s="23"/>
      <c r="G8" s="23"/>
      <c r="H8" s="1"/>
      <c r="I8" s="23" t="s">
        <v>1</v>
      </c>
      <c r="J8" s="23"/>
      <c r="K8" s="23"/>
      <c r="L8" s="1"/>
      <c r="M8" s="1"/>
      <c r="N8" s="1"/>
      <c r="O8" s="1"/>
    </row>
    <row r="9" spans="1:15" ht="90" x14ac:dyDescent="0.25">
      <c r="A9" s="19" t="s">
        <v>37</v>
      </c>
      <c r="B9" s="19" t="s">
        <v>38</v>
      </c>
      <c r="C9" s="19" t="s">
        <v>39</v>
      </c>
      <c r="D9" s="1"/>
      <c r="E9" s="19" t="s">
        <v>37</v>
      </c>
      <c r="F9" s="19" t="s">
        <v>38</v>
      </c>
      <c r="G9" s="19" t="s">
        <v>39</v>
      </c>
      <c r="H9" s="1"/>
      <c r="I9" s="19" t="s">
        <v>37</v>
      </c>
      <c r="J9" s="19" t="s">
        <v>38</v>
      </c>
      <c r="K9" s="19" t="s">
        <v>39</v>
      </c>
      <c r="L9" s="1"/>
      <c r="M9" s="1"/>
      <c r="N9" s="1"/>
      <c r="O9" s="1"/>
    </row>
    <row r="10" spans="1:15" x14ac:dyDescent="0.25">
      <c r="A10" s="20">
        <v>0.27</v>
      </c>
      <c r="B10" s="20">
        <v>2.61</v>
      </c>
      <c r="C10" s="20">
        <v>2.34</v>
      </c>
      <c r="D10" s="1"/>
      <c r="E10" s="20">
        <v>0.33</v>
      </c>
      <c r="F10" s="20">
        <v>2.64</v>
      </c>
      <c r="G10" s="20">
        <v>2.31</v>
      </c>
      <c r="H10" s="1"/>
      <c r="I10" s="20">
        <v>0.41</v>
      </c>
      <c r="J10" s="20">
        <v>2.64</v>
      </c>
      <c r="K10" s="20">
        <v>2.23</v>
      </c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mergeCells count="12">
    <mergeCell ref="A8:C8"/>
    <mergeCell ref="E8:G8"/>
    <mergeCell ref="I8:K8"/>
    <mergeCell ref="A1:O1"/>
    <mergeCell ref="A2:F2"/>
    <mergeCell ref="G2:L2"/>
    <mergeCell ref="M2:O2"/>
    <mergeCell ref="A3:C3"/>
    <mergeCell ref="D3:F3"/>
    <mergeCell ref="G3:I3"/>
    <mergeCell ref="J3:L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CONTROLO_CORRENTE</vt:lpstr>
      <vt:lpstr>CONTROLO_PWM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Afonso</dc:creator>
  <cp:keywords/>
  <dc:description/>
  <cp:lastModifiedBy>Marcel Oliveira Da Silva</cp:lastModifiedBy>
  <cp:revision/>
  <dcterms:created xsi:type="dcterms:W3CDTF">2015-06-05T18:17:20Z</dcterms:created>
  <dcterms:modified xsi:type="dcterms:W3CDTF">2026-06-24T23:41:44Z</dcterms:modified>
  <cp:category/>
  <cp:contentStatus/>
</cp:coreProperties>
</file>